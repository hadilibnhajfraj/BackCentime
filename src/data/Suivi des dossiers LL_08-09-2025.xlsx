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filterPrivacy="1" defaultThemeVersion="124226"/>
  <bookViews>
    <workbookView xWindow="-120" yWindow="-120" windowWidth="29040" windowHeight="15840"/>
  </bookViews>
  <sheets>
    <sheet name="Fiche de suivi 2025" sheetId="1" r:id="rId1"/>
    <sheet name="MV" sheetId="14" r:id="rId2"/>
    <sheet name="Feuil2" sheetId="15" r:id="rId3"/>
  </sheets>
  <definedNames>
    <definedName name="_xlnm._FilterDatabase" localSheetId="0" hidden="1">'Fiche de suivi 2025'!$A$11:$EQ$84</definedName>
  </definedNames>
  <calcPr calcId="152511"/>
</workbook>
</file>

<file path=xl/calcChain.xml><?xml version="1.0" encoding="utf-8"?>
<calcChain xmlns="http://schemas.openxmlformats.org/spreadsheetml/2006/main">
  <c r="X71" i="1" l="1"/>
  <c r="W71" i="1"/>
  <c r="Y71" i="1" s="1"/>
  <c r="X70" i="1"/>
  <c r="W70" i="1"/>
  <c r="Y70" i="1" s="1"/>
  <c r="X68" i="1"/>
  <c r="W68" i="1"/>
  <c r="Y68" i="1" s="1"/>
  <c r="E4" i="1" l="1"/>
  <c r="E6" i="1"/>
  <c r="X69" i="1"/>
  <c r="W69" i="1"/>
  <c r="Y69" i="1" s="1"/>
  <c r="W73" i="1" l="1"/>
  <c r="Y73" i="1" s="1"/>
  <c r="X73" i="1"/>
  <c r="X74" i="1"/>
  <c r="W74" i="1"/>
  <c r="Y74" i="1" s="1"/>
  <c r="X72" i="1"/>
  <c r="W72" i="1"/>
  <c r="Y72" i="1" s="1"/>
  <c r="X55" i="1"/>
  <c r="W55" i="1"/>
  <c r="Y55" i="1" s="1"/>
  <c r="X54" i="1"/>
  <c r="W54" i="1"/>
  <c r="Y54" i="1" s="1"/>
  <c r="X56" i="1"/>
  <c r="W56" i="1"/>
  <c r="Y56" i="1" s="1"/>
  <c r="AG54" i="1" l="1"/>
  <c r="AG55" i="1"/>
  <c r="AG56" i="1"/>
  <c r="AG57" i="1"/>
  <c r="AG58" i="1"/>
  <c r="AG59" i="1"/>
  <c r="AG60" i="1"/>
  <c r="AG61" i="1"/>
  <c r="AG62" i="1"/>
  <c r="AG63" i="1"/>
  <c r="AG67" i="1"/>
  <c r="AG68" i="1"/>
  <c r="AG69" i="1"/>
  <c r="AG70" i="1"/>
  <c r="AG71" i="1"/>
  <c r="AG72" i="1"/>
  <c r="AG73" i="1"/>
  <c r="AG74" i="1"/>
  <c r="AG75" i="1"/>
  <c r="AG76" i="1"/>
  <c r="AG77" i="1"/>
  <c r="AG78" i="1"/>
  <c r="AG79" i="1"/>
  <c r="W66" i="1"/>
  <c r="Y66" i="1" s="1"/>
  <c r="AG66" i="1" s="1"/>
  <c r="X66" i="1"/>
  <c r="S6" i="1" l="1"/>
  <c r="R6" i="1"/>
  <c r="Q6" i="1"/>
  <c r="P6" i="1"/>
  <c r="O6" i="1"/>
  <c r="N6" i="1"/>
  <c r="X65" i="1"/>
  <c r="W65" i="1"/>
  <c r="Y65" i="1" s="1"/>
  <c r="AG65" i="1" s="1"/>
  <c r="X64" i="1"/>
  <c r="W64" i="1"/>
  <c r="Y64" i="1" s="1"/>
  <c r="AG64" i="1" s="1"/>
  <c r="W52" i="1" l="1"/>
  <c r="Y52" i="1" s="1"/>
  <c r="AG52" i="1" s="1"/>
  <c r="W53" i="1"/>
  <c r="Y53" i="1" s="1"/>
  <c r="AG53" i="1" s="1"/>
  <c r="X53" i="1"/>
  <c r="X52" i="1"/>
  <c r="W51" i="1"/>
  <c r="Y51" i="1" s="1"/>
  <c r="AG51" i="1" s="1"/>
  <c r="X51" i="1"/>
  <c r="X45" i="1" l="1"/>
  <c r="W45" i="1"/>
  <c r="Y45" i="1" s="1"/>
  <c r="E3" i="1" l="1"/>
  <c r="X50" i="1"/>
  <c r="W50" i="1"/>
  <c r="Y50" i="1" s="1"/>
  <c r="AG50" i="1" s="1"/>
  <c r="X49" i="1"/>
  <c r="W49" i="1"/>
  <c r="Y49" i="1" s="1"/>
  <c r="AG49" i="1" s="1"/>
  <c r="X48" i="1" l="1"/>
  <c r="W48" i="1"/>
  <c r="Y48" i="1" s="1"/>
  <c r="AG48" i="1" s="1"/>
  <c r="X47" i="1"/>
  <c r="W47" i="1"/>
  <c r="Y47" i="1" s="1"/>
  <c r="AG47" i="1" s="1"/>
  <c r="E2" i="1" l="1"/>
  <c r="U5" i="1"/>
  <c r="T5" i="1"/>
  <c r="L6" i="1" l="1"/>
  <c r="X38" i="1" l="1"/>
  <c r="W38" i="1"/>
  <c r="Y38" i="1" s="1"/>
  <c r="K6" i="1" l="1"/>
  <c r="AJ13" i="1" l="1"/>
  <c r="AJ14" i="1"/>
  <c r="AJ15" i="1"/>
  <c r="AJ16" i="1"/>
  <c r="AJ17" i="1"/>
  <c r="AJ18" i="1"/>
  <c r="AJ19" i="1"/>
  <c r="AJ20" i="1"/>
  <c r="AJ21" i="1"/>
  <c r="AJ22" i="1"/>
  <c r="AJ23" i="1"/>
  <c r="AJ24" i="1"/>
  <c r="AJ25" i="1"/>
  <c r="AJ26" i="1"/>
  <c r="AJ29" i="1"/>
  <c r="AJ30" i="1"/>
  <c r="AJ31" i="1"/>
  <c r="AJ32" i="1"/>
  <c r="AJ33" i="1"/>
  <c r="AJ34" i="1"/>
  <c r="AJ35" i="1"/>
  <c r="AJ36" i="1"/>
  <c r="AJ37" i="1"/>
  <c r="AJ38" i="1"/>
  <c r="AJ39" i="1"/>
  <c r="AJ41" i="1"/>
  <c r="AJ42" i="1"/>
  <c r="AJ43" i="1"/>
  <c r="AJ44" i="1"/>
  <c r="AJ46" i="1"/>
  <c r="AJ12" i="1"/>
  <c r="X14" i="1"/>
  <c r="X15" i="1"/>
  <c r="X16" i="1"/>
  <c r="X17" i="1"/>
  <c r="X22" i="1"/>
  <c r="X23" i="1"/>
  <c r="X24" i="1"/>
  <c r="X26" i="1"/>
  <c r="X29" i="1"/>
  <c r="X30" i="1"/>
  <c r="X31" i="1"/>
  <c r="X34" i="1"/>
  <c r="X35" i="1"/>
  <c r="X36" i="1"/>
  <c r="X37" i="1"/>
  <c r="X39" i="1"/>
  <c r="X41" i="1"/>
  <c r="X44" i="1"/>
  <c r="X46" i="1"/>
  <c r="W13" i="1"/>
  <c r="W14" i="1"/>
  <c r="W15" i="1"/>
  <c r="W16" i="1"/>
  <c r="W17" i="1"/>
  <c r="W18" i="1"/>
  <c r="W19" i="1"/>
  <c r="W20" i="1"/>
  <c r="W21" i="1"/>
  <c r="W22" i="1"/>
  <c r="W23" i="1"/>
  <c r="W24" i="1"/>
  <c r="W25" i="1"/>
  <c r="W26" i="1"/>
  <c r="W29" i="1"/>
  <c r="Y29" i="1" s="1"/>
  <c r="W30" i="1"/>
  <c r="W31" i="1"/>
  <c r="W32" i="1"/>
  <c r="W33" i="1"/>
  <c r="W34" i="1"/>
  <c r="W35" i="1"/>
  <c r="W36" i="1"/>
  <c r="W37" i="1"/>
  <c r="W39" i="1"/>
  <c r="W41" i="1"/>
  <c r="W44" i="1"/>
  <c r="W46" i="1"/>
  <c r="W12" i="1"/>
  <c r="W8" i="1" l="1"/>
  <c r="W6" i="1"/>
  <c r="W7" i="1"/>
  <c r="Y23" i="1"/>
  <c r="Y35" i="1" l="1"/>
  <c r="Y46" i="1"/>
  <c r="Y44" i="1" l="1"/>
  <c r="Y41" i="1" l="1"/>
  <c r="Y39" i="1" l="1"/>
  <c r="Y36" i="1" l="1"/>
  <c r="Y37" i="1"/>
  <c r="Y34" i="1" l="1"/>
  <c r="Y33" i="1" l="1"/>
  <c r="Y32" i="1"/>
  <c r="Y31" i="1"/>
  <c r="Y30" i="1" l="1"/>
  <c r="Y17" i="1" l="1"/>
  <c r="Y25" i="1" l="1"/>
  <c r="G16" i="15" l="1"/>
  <c r="Y24" i="1" l="1"/>
  <c r="Y26" i="1" l="1"/>
  <c r="AG17" i="1" l="1"/>
  <c r="AG23" i="1"/>
  <c r="AG24" i="1"/>
  <c r="AG25" i="1"/>
  <c r="AG26" i="1"/>
  <c r="AG27" i="1"/>
  <c r="AG28" i="1"/>
  <c r="AG29" i="1"/>
  <c r="AG30" i="1"/>
  <c r="AG31" i="1"/>
  <c r="AG32" i="1"/>
  <c r="AG33" i="1"/>
  <c r="AG34" i="1"/>
  <c r="AG35" i="1"/>
  <c r="AG36" i="1"/>
  <c r="AG37" i="1"/>
  <c r="AG38" i="1"/>
  <c r="AG39" i="1"/>
  <c r="AG40" i="1"/>
  <c r="AG41" i="1"/>
  <c r="AG42" i="1"/>
  <c r="AG43" i="1"/>
  <c r="AG44" i="1"/>
  <c r="AG45" i="1"/>
  <c r="AG46" i="1"/>
  <c r="D23" i="14" l="1"/>
  <c r="Y21" i="1" l="1"/>
  <c r="AG21" i="1" s="1"/>
  <c r="Y22" i="1"/>
  <c r="AG22" i="1" s="1"/>
  <c r="Y18" i="1"/>
  <c r="AG18" i="1" s="1"/>
  <c r="X12" i="1" l="1"/>
  <c r="X6" i="1" l="1"/>
  <c r="X8" i="1"/>
  <c r="X7" i="1"/>
  <c r="G24" i="14"/>
  <c r="I24" i="14" s="1"/>
  <c r="Q23" i="14"/>
  <c r="AB3" i="1"/>
  <c r="AB2" i="1"/>
  <c r="D30" i="15"/>
  <c r="D25" i="15"/>
  <c r="J13" i="14" l="1"/>
  <c r="F10" i="14"/>
  <c r="F13" i="14"/>
  <c r="J10" i="14"/>
  <c r="F11" i="14"/>
  <c r="D17" i="14"/>
  <c r="J11" i="14"/>
  <c r="J12" i="14"/>
  <c r="F12" i="14"/>
  <c r="T24" i="14"/>
  <c r="V24" i="14" s="1"/>
  <c r="D10" i="15"/>
  <c r="E10" i="15"/>
  <c r="F10" i="15"/>
  <c r="G10" i="15"/>
  <c r="H10" i="15"/>
  <c r="I10" i="15"/>
  <c r="J10" i="15"/>
  <c r="K10" i="15"/>
  <c r="L10" i="15"/>
  <c r="M10" i="15"/>
  <c r="N10" i="15"/>
  <c r="O9" i="15"/>
  <c r="O10" i="15"/>
  <c r="P10" i="15" s="1"/>
  <c r="C10" i="15"/>
  <c r="L13" i="14" l="1"/>
  <c r="H12" i="14"/>
  <c r="L12" i="14"/>
  <c r="L11" i="14"/>
  <c r="H11" i="14"/>
  <c r="H13" i="14"/>
  <c r="O5" i="15"/>
  <c r="O6" i="15"/>
  <c r="O4" i="15"/>
  <c r="M34" i="14"/>
  <c r="M44" i="14"/>
  <c r="J44" i="14"/>
  <c r="C27" i="15"/>
  <c r="D24" i="15" s="1"/>
  <c r="F8" i="15"/>
  <c r="G8" i="15"/>
  <c r="H8" i="15"/>
  <c r="I8" i="15"/>
  <c r="J8" i="15"/>
  <c r="K8" i="15"/>
  <c r="L8" i="15"/>
  <c r="M8" i="15"/>
  <c r="N8" i="15"/>
  <c r="C8" i="15"/>
  <c r="D7" i="15"/>
  <c r="D8" i="15" s="1"/>
  <c r="O8" i="15" s="1"/>
  <c r="P8" i="15" s="1"/>
  <c r="E7" i="15"/>
  <c r="E8" i="15" s="1"/>
  <c r="F7" i="15"/>
  <c r="G7" i="15"/>
  <c r="H7" i="15"/>
  <c r="I7" i="15"/>
  <c r="J7" i="15"/>
  <c r="K7" i="15"/>
  <c r="L7" i="15"/>
  <c r="M7" i="15"/>
  <c r="N7" i="15"/>
  <c r="C7" i="15"/>
  <c r="J34" i="14" l="1"/>
  <c r="Y16" i="1" l="1"/>
  <c r="AG16" i="1" s="1"/>
  <c r="Y15" i="1"/>
  <c r="AG15" i="1" s="1"/>
  <c r="Y19" i="1" l="1"/>
  <c r="AG19" i="1" s="1"/>
  <c r="Y20" i="1"/>
  <c r="AG20" i="1" s="1"/>
  <c r="E7" i="1" l="1"/>
  <c r="Y13" i="1" l="1"/>
  <c r="AG13" i="1" s="1"/>
  <c r="Y12" i="1"/>
  <c r="AG12" i="1" s="1"/>
  <c r="Y14" i="1"/>
  <c r="AG14" i="1" s="1"/>
  <c r="AG7" i="1" l="1"/>
  <c r="S17" i="14" s="1"/>
  <c r="J17" i="14"/>
  <c r="T4" i="1" l="1"/>
  <c r="V5" i="1" l="1"/>
  <c r="V6" i="1" s="1"/>
  <c r="G5" i="1" l="1"/>
  <c r="G3" i="1" l="1"/>
  <c r="G4" i="1"/>
  <c r="G6" i="1"/>
  <c r="G7" i="1"/>
</calcChain>
</file>

<file path=xl/comments1.xml><?xml version="1.0" encoding="utf-8"?>
<comments xmlns="http://schemas.openxmlformats.org/spreadsheetml/2006/main">
  <authors>
    <author>Auteur</author>
  </authors>
  <commentList>
    <comment ref="C24" authorId="0" shapeId="0">
      <text>
        <r>
          <rPr>
            <sz val="9"/>
            <color indexed="81"/>
            <rFont val="Tahoma"/>
            <family val="2"/>
          </rPr>
          <t xml:space="preserve">« Mean Time Before Failure » Temps moyen entre pannes / la moyenne des temps de bon fonctionnement entre deux défaillances. 
Exprimé en nombre de jours 
C’est un bon indicateur pour déterminer si un équipement est fiable. Il est donc déterminant dans le choix de remplacement d’un système s’il est jugé trop court et entraîne des arrêts à répétition causant des pertes de performance de productivité et un surcoût de maintenance.
</t>
        </r>
      </text>
    </comment>
  </commentList>
</comments>
</file>

<file path=xl/sharedStrings.xml><?xml version="1.0" encoding="utf-8"?>
<sst xmlns="http://schemas.openxmlformats.org/spreadsheetml/2006/main" count="626" uniqueCount="282">
  <si>
    <t>N°</t>
  </si>
  <si>
    <t>Code Projet</t>
  </si>
  <si>
    <t>A373</t>
  </si>
  <si>
    <t>Client</t>
  </si>
  <si>
    <t>Marque</t>
  </si>
  <si>
    <t>Modèle</t>
  </si>
  <si>
    <t>Offre de prix</t>
  </si>
  <si>
    <t>Date</t>
  </si>
  <si>
    <t>Réception échantillons</t>
  </si>
  <si>
    <t>Montant HT</t>
  </si>
  <si>
    <t>Facturation</t>
  </si>
  <si>
    <t>Facturation :</t>
  </si>
  <si>
    <t>Kg</t>
  </si>
  <si>
    <t>Type de l'essai</t>
  </si>
  <si>
    <t>Etat</t>
  </si>
  <si>
    <t>Classification</t>
  </si>
  <si>
    <t>Rapport d'essai</t>
  </si>
  <si>
    <t>TOTAL Offre de prix :</t>
  </si>
  <si>
    <t>Total :</t>
  </si>
  <si>
    <t>Labo client :</t>
  </si>
  <si>
    <t>Labo CETIME :</t>
  </si>
  <si>
    <t>Capacité :</t>
  </si>
  <si>
    <t>reste a payé</t>
  </si>
  <si>
    <t>A371</t>
  </si>
  <si>
    <t>Janvier</t>
  </si>
  <si>
    <t>Mars</t>
  </si>
  <si>
    <t>Avril</t>
  </si>
  <si>
    <t>Mai</t>
  </si>
  <si>
    <t>Juin</t>
  </si>
  <si>
    <t>Juillet</t>
  </si>
  <si>
    <t>Août</t>
  </si>
  <si>
    <t>Septembre</t>
  </si>
  <si>
    <t>Octobre</t>
  </si>
  <si>
    <t>Novembre</t>
  </si>
  <si>
    <t>Décembre</t>
  </si>
  <si>
    <t>Constat</t>
  </si>
  <si>
    <t>El Athir Service</t>
  </si>
  <si>
    <t>Mont blanc</t>
  </si>
  <si>
    <t>GAN Distribution</t>
  </si>
  <si>
    <t>TELEFUNKEN</t>
  </si>
  <si>
    <t>NEWSTAR</t>
  </si>
  <si>
    <t>ELECTRO SERVICE</t>
  </si>
  <si>
    <t>Constat / autre :</t>
  </si>
  <si>
    <t>Tableau de suivi des dossiers - Laboratoire Performance Energétique des lave - linge / Année 2025</t>
  </si>
  <si>
    <t>DELTA TRADING</t>
  </si>
  <si>
    <t>TCL</t>
  </si>
  <si>
    <t>Brandt Tunisie</t>
  </si>
  <si>
    <t>Brandt</t>
  </si>
  <si>
    <t>BLF942QSBL</t>
  </si>
  <si>
    <t>BAM1052SBL</t>
  </si>
  <si>
    <t>BLF742S</t>
  </si>
  <si>
    <t>BAM84SBL</t>
  </si>
  <si>
    <t>BAM1052WBL</t>
  </si>
  <si>
    <t>BU1050</t>
  </si>
  <si>
    <t>Rendu</t>
  </si>
  <si>
    <t>MFA1214</t>
  </si>
  <si>
    <t>TL0914T3DG</t>
  </si>
  <si>
    <t>TL1014T3DG</t>
  </si>
  <si>
    <t>TL0610T0W</t>
  </si>
  <si>
    <t>CONDOR ELECTRONICS INTERNATIONAL</t>
  </si>
  <si>
    <t>Condor</t>
  </si>
  <si>
    <t>WF6-A12</t>
  </si>
  <si>
    <t>reçu</t>
  </si>
  <si>
    <t>MONDIAL CONFORT</t>
  </si>
  <si>
    <t>Beko</t>
  </si>
  <si>
    <t>CROCUS COMPANY TRAIDING</t>
  </si>
  <si>
    <t>AZUR</t>
  </si>
  <si>
    <t>P606FLW</t>
  </si>
  <si>
    <t>CANDY</t>
  </si>
  <si>
    <t>Fevrier</t>
  </si>
  <si>
    <t>Jour de travail</t>
  </si>
  <si>
    <t>Arrêt programmé (Etalonnage / maintenance préventive)</t>
  </si>
  <si>
    <t>Arrêt non programmé (panne / défaut de foctionnement)</t>
  </si>
  <si>
    <t>Nombre de jours d'arrêt</t>
  </si>
  <si>
    <t>Temps moyene entre pannes</t>
  </si>
  <si>
    <t>MTBF</t>
  </si>
  <si>
    <t>Panne N° 1 - Début</t>
  </si>
  <si>
    <t>Panne N° 1 - Fin</t>
  </si>
  <si>
    <t>jours</t>
  </si>
  <si>
    <t>Temps Moyen de Réparation</t>
  </si>
  <si>
    <t>MTTR</t>
  </si>
  <si>
    <t>Temps Moyen de Réparation - panne N° 1</t>
  </si>
  <si>
    <t>Panne N° 2 - Début</t>
  </si>
  <si>
    <t>Panne N° 2 - Fin</t>
  </si>
  <si>
    <t>Temps Moyen de Réparation - panne N° 2</t>
  </si>
  <si>
    <t>Panne N° 3 - Début</t>
  </si>
  <si>
    <t>Panne N° 3 - Fin</t>
  </si>
  <si>
    <t>Temps Moyen de Réparation - panne N° 3</t>
  </si>
  <si>
    <t>Taux de disponibilité des moyens d'essais</t>
  </si>
  <si>
    <t>Durée moyenne d'éxécution des essais</t>
  </si>
  <si>
    <t>Aujourd'hui</t>
  </si>
  <si>
    <t xml:space="preserve">MTBF </t>
  </si>
  <si>
    <t>Temps Moyen entre Pannes</t>
  </si>
  <si>
    <t>Somme / Moyenne</t>
  </si>
  <si>
    <t>Taux de d'occupation des moyens d'essais</t>
  </si>
  <si>
    <t>Utilisation des moyens d'essai (jours)</t>
  </si>
  <si>
    <t>Taux d'occupation des moyens d'essai</t>
  </si>
  <si>
    <t>Date du dernier remise en état après un arrêt non programé</t>
  </si>
  <si>
    <r>
      <t>Arrêt non programmé</t>
    </r>
    <r>
      <rPr>
        <b/>
        <sz val="14"/>
        <color rgb="FF002060"/>
        <rFont val="Calibri"/>
        <family val="2"/>
        <scheme val="minor"/>
      </rPr>
      <t xml:space="preserve"> 2025 </t>
    </r>
  </si>
  <si>
    <t xml:space="preserve">Arrêt programmé 2025 </t>
  </si>
  <si>
    <t>Nbr de dossiers :</t>
  </si>
  <si>
    <t>Nbr d'appareil :</t>
  </si>
  <si>
    <t>Nombre Total</t>
  </si>
  <si>
    <t>En cours</t>
  </si>
  <si>
    <t>Achevés</t>
  </si>
  <si>
    <t>Confirmation</t>
  </si>
  <si>
    <t xml:space="preserve">       Achvés :</t>
  </si>
  <si>
    <t xml:space="preserve">       Attente confirmation :</t>
  </si>
  <si>
    <t>Direction Centrale des Laboratoires Electriques   /   D C L E</t>
  </si>
  <si>
    <t>Laboratoire de Performance Energétique des Laves - linge   /   Laboratoire P E L</t>
  </si>
  <si>
    <t>Tableau de bord / Mangement Visuel</t>
  </si>
  <si>
    <t>Appareils</t>
  </si>
  <si>
    <t>m²</t>
  </si>
  <si>
    <t>Stock</t>
  </si>
  <si>
    <t>Stock  &amp;  Espace</t>
  </si>
  <si>
    <t>Performance  des  Moyens  d'essai   (Equipements  de laboratoire)</t>
  </si>
  <si>
    <t>Récep</t>
  </si>
  <si>
    <t>Espce occupé</t>
  </si>
  <si>
    <t>Délai de réalisation / essai  (jours)</t>
  </si>
  <si>
    <t>Réalisation  &amp; En cours 2025</t>
  </si>
  <si>
    <t xml:space="preserve">       En cours de traitement :</t>
  </si>
  <si>
    <t>Réception / En attente d'essai</t>
  </si>
  <si>
    <t xml:space="preserve">Stockage / Retour client </t>
  </si>
  <si>
    <t>Durée  moyenne de traitement de dossier</t>
  </si>
  <si>
    <t>En cours de traitement</t>
  </si>
  <si>
    <t>Attente de confirmation</t>
  </si>
  <si>
    <t xml:space="preserve">Nombre de demandes (essai + CT) dont les devis sont envoyés mais reste sans confirmation par le client </t>
  </si>
  <si>
    <t xml:space="preserve"> = Moyenne (Date d'émission du raport - Date de facturation)</t>
  </si>
  <si>
    <t>Nombre d'échantillons actuellement reçu et en attente de confirmation client ou essai  (dans la zone de réception)</t>
  </si>
  <si>
    <t>Nombre d'échantillons dont les essais sont achevés et en attente de récupération par le client  (dans la zone de stockage)</t>
  </si>
  <si>
    <t>A373254</t>
  </si>
  <si>
    <t>A373251</t>
  </si>
  <si>
    <t>A373252</t>
  </si>
  <si>
    <t>A373253</t>
  </si>
  <si>
    <t>A371253</t>
  </si>
  <si>
    <t>A371256</t>
  </si>
  <si>
    <t>A373255</t>
  </si>
  <si>
    <t>A373257</t>
  </si>
  <si>
    <t>A373258</t>
  </si>
  <si>
    <t>A371257</t>
  </si>
  <si>
    <t>A373259</t>
  </si>
  <si>
    <t>B3WFT51242MG</t>
  </si>
  <si>
    <t>MFA0810</t>
  </si>
  <si>
    <t>MFA0910</t>
  </si>
  <si>
    <t>Marque / Modèle</t>
  </si>
  <si>
    <t>Type d'essai</t>
  </si>
  <si>
    <t xml:space="preserve"> = Moyenne (Date d'émission du dernier raport - Date de réception de la demande)</t>
  </si>
  <si>
    <t xml:space="preserve">Durée  moyenne de traitement de dossier </t>
  </si>
  <si>
    <t>Espace occupé : espace occupé par les échantillons en attente de récupération par le client  à raison de 0,64 m² par échantillon (surface de la zonne  2 m²)</t>
  </si>
  <si>
    <t>Espace occupé : espace occupé par les échantillons reçus à raison de 0,64 m² par échantillon (surface de la zonne  2 m²)</t>
  </si>
  <si>
    <t>Planification sur 2 semaines</t>
  </si>
  <si>
    <t>Respect des délais</t>
  </si>
  <si>
    <t>Durée moyenne des essais sur un échantillon depuis la date de confirmation jusqu'au la date d'émission du rapport</t>
  </si>
  <si>
    <t>Durée moyenne de traitement des dossiers depuis la date de réception de la demande et des échantillons jusqu'au la date d'émission du dernier rapport</t>
  </si>
  <si>
    <t xml:space="preserve">Nombre total </t>
  </si>
  <si>
    <t>Nombre de demandes (essai + CT) reçus depuis le début de l'année 2025 / Nombre des échantillons réçus depuis le debut de l'année 2025</t>
  </si>
  <si>
    <t>Nombre de demandes (essai + CT) confirmés par le client et dont les essais ont étés achevés / Nombre des échantillons dont les essais ont étés achevés</t>
  </si>
  <si>
    <t>Nombre de demandes (essai + CT) confirmés par le client  et dont les essais sont en cours /  Nombre des échantillons dont les essais sont en cours</t>
  </si>
  <si>
    <t>Taux de respect des délais</t>
  </si>
  <si>
    <t>Nombre des rapports dans les délais (30 jours par défaut) / nombre total des rapports</t>
  </si>
  <si>
    <t>M T B F</t>
  </si>
  <si>
    <t>Durée moyenne entre les pannes (arrêt non programmé)</t>
  </si>
  <si>
    <t>M T T R</t>
  </si>
  <si>
    <t>Durée moyenne de remise en état de fonctionnement après un arrêt non programmé</t>
  </si>
  <si>
    <t>Arrêt programmé</t>
  </si>
  <si>
    <t>Arrêt non programmé</t>
  </si>
  <si>
    <t>Nombre de jours d'arrêt planifié à l'avance (étalonnage / maintenance préventive)</t>
  </si>
  <si>
    <t xml:space="preserve">Nombre de jours d'arrêt de fonctionnement accidentel du laboratoire suite à une panne </t>
  </si>
  <si>
    <t>Représente le pourcentage de temps durant lequel les équipements du laboratoire sont opérationnels  ((jours de travail - jours d'arrêt) / jours de travail)</t>
  </si>
  <si>
    <t>Représente le pourcentage de jours d'utilisation des équipements du laboratoires ((jours de travail - jours d'utilisation) / jours de travail)</t>
  </si>
  <si>
    <t>Respect des délais =</t>
  </si>
  <si>
    <t>A371258</t>
  </si>
  <si>
    <t>RO1411DMCRT</t>
  </si>
  <si>
    <t>CON-G610S</t>
  </si>
  <si>
    <t>A3732510</t>
  </si>
  <si>
    <t>A3732513</t>
  </si>
  <si>
    <t>A3732514</t>
  </si>
  <si>
    <t>SAMSUNG</t>
  </si>
  <si>
    <t>WD11DB7B85GB</t>
  </si>
  <si>
    <t>BM3WFU47200BS</t>
  </si>
  <si>
    <t>BM1WFU36200BW</t>
  </si>
  <si>
    <t>A3732515</t>
  </si>
  <si>
    <t>Capacité</t>
  </si>
  <si>
    <t>A3712511</t>
  </si>
  <si>
    <t>COFEM</t>
  </si>
  <si>
    <t>Orient</t>
  </si>
  <si>
    <t>B3WFU4822MG</t>
  </si>
  <si>
    <t>BLF842B</t>
  </si>
  <si>
    <t>A3732516</t>
  </si>
  <si>
    <t>A3732517</t>
  </si>
  <si>
    <t>CASAPRO</t>
  </si>
  <si>
    <t>HOOVER</t>
  </si>
  <si>
    <t>A3732518</t>
  </si>
  <si>
    <t>SMART HOME DISTRIBUTION</t>
  </si>
  <si>
    <t>Fresh</t>
  </si>
  <si>
    <t>OW-F5V01S</t>
  </si>
  <si>
    <t>BM3WFT48400BS</t>
  </si>
  <si>
    <t>A3732519</t>
  </si>
  <si>
    <t>BM3WFTU47200BW</t>
  </si>
  <si>
    <t>H3W 272 DGG-04</t>
  </si>
  <si>
    <t>A3732521</t>
  </si>
  <si>
    <t>WW70T4020CX1</t>
  </si>
  <si>
    <t>WW80T40CX1</t>
  </si>
  <si>
    <t>en cours</t>
  </si>
  <si>
    <t>A3732522</t>
  </si>
  <si>
    <t>OW-F7N03S</t>
  </si>
  <si>
    <t>A3712513</t>
  </si>
  <si>
    <t>KWEL TRADE</t>
  </si>
  <si>
    <t>Hisense</t>
  </si>
  <si>
    <t>A3732523</t>
  </si>
  <si>
    <t>11 TOP</t>
  </si>
  <si>
    <t>WTJA1112T</t>
  </si>
  <si>
    <t>Délai de traitement de dossier  (jours)</t>
  </si>
  <si>
    <t>Délais reception / confirmation</t>
  </si>
  <si>
    <t>A3732524</t>
  </si>
  <si>
    <t>PERFECT HOME APPLIANCES</t>
  </si>
  <si>
    <t>A3732525</t>
  </si>
  <si>
    <t>TORNADO</t>
  </si>
  <si>
    <t>WA80F1355</t>
  </si>
  <si>
    <t>WA80F1958</t>
  </si>
  <si>
    <t>A3732526</t>
  </si>
  <si>
    <t>SELECT HARD WARE</t>
  </si>
  <si>
    <t>HUYNDAI</t>
  </si>
  <si>
    <t>HYN-WM814001.B01</t>
  </si>
  <si>
    <t>HYN-WM814001.DG01</t>
  </si>
  <si>
    <t>HYN-WM814001.S01</t>
  </si>
  <si>
    <t>13 TOP</t>
  </si>
  <si>
    <t>19 TOP</t>
  </si>
  <si>
    <t>12TWIN</t>
  </si>
  <si>
    <t>TH-HS12C-W bleu</t>
  </si>
  <si>
    <t>TH-HS12C-W noire</t>
  </si>
  <si>
    <t>A3732527</t>
  </si>
  <si>
    <t>A3732528</t>
  </si>
  <si>
    <t>SODIG</t>
  </si>
  <si>
    <t>A3732529</t>
  </si>
  <si>
    <t>ELECTRO DIESEL TUNISIE</t>
  </si>
  <si>
    <t>AZ1210T2T</t>
  </si>
  <si>
    <t>Rendu / sans essai</t>
  </si>
  <si>
    <t>A3712514</t>
  </si>
  <si>
    <t>CL</t>
  </si>
  <si>
    <t>Annulé</t>
  </si>
  <si>
    <t>non reçu</t>
  </si>
  <si>
    <t>A3732530</t>
  </si>
  <si>
    <t>A3732531</t>
  </si>
  <si>
    <t>3 STAR TRADING</t>
  </si>
  <si>
    <t>LG</t>
  </si>
  <si>
    <t>A3732532</t>
  </si>
  <si>
    <t>SCNEIDER</t>
  </si>
  <si>
    <t>710T1S</t>
  </si>
  <si>
    <t>812T2S</t>
  </si>
  <si>
    <t>912T2S</t>
  </si>
  <si>
    <t>1014T2S</t>
  </si>
  <si>
    <t>BM3WFT49400BS</t>
  </si>
  <si>
    <t>BM3WFU47200BW</t>
  </si>
  <si>
    <t>600-b/2022</t>
  </si>
  <si>
    <t>A3732533</t>
  </si>
  <si>
    <t>GVS149</t>
  </si>
  <si>
    <t>A3732534</t>
  </si>
  <si>
    <t>CDCD</t>
  </si>
  <si>
    <t>Whirlpool</t>
  </si>
  <si>
    <t>F4R3VYG6P</t>
  </si>
  <si>
    <t>WDSE1214VJMWB</t>
  </si>
  <si>
    <t>WFS1043BT</t>
  </si>
  <si>
    <t>WFS1243BT</t>
  </si>
  <si>
    <t>FH2J3QDNG0P</t>
  </si>
  <si>
    <t>FH2J3TNG5P</t>
  </si>
  <si>
    <t>Sur Site</t>
  </si>
  <si>
    <t>F2J3QYG6J</t>
  </si>
  <si>
    <t>A3732535</t>
  </si>
  <si>
    <t>A3732536</t>
  </si>
  <si>
    <t>Electromed</t>
  </si>
  <si>
    <t>Biolux</t>
  </si>
  <si>
    <t>MAXY80S</t>
  </si>
  <si>
    <t>A3732537</t>
  </si>
  <si>
    <t>A3732538</t>
  </si>
  <si>
    <t>Contat</t>
  </si>
  <si>
    <t>A3732539</t>
  </si>
  <si>
    <t>A3732540</t>
  </si>
  <si>
    <t>F710L</t>
  </si>
  <si>
    <t>F4R5VGG2E</t>
  </si>
  <si>
    <t>Sur site</t>
  </si>
  <si>
    <t>F4R5VYG2T</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</si>
</sst>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0.000"/>
    <numFmt numFmtId="165" formatCode="0.0%"/>
    <numFmt numFmtId="166" formatCode="0.000"/>
    <numFmt numFmtId="167" formatCode="0.0"/>
  </numFmts>
  <fonts count="40" x14ac:knownFonts="1">
    <font>
      <sz val="11"/>
      <color theme="1"/>
      <name val="Calibri"/>
      <family val="2"/>
      <scheme val="minor"/>
    </font>
    <font>
      <b/>
      <sz val="11"/>
      <color theme="1"/>
      <name val="Calibri"/>
      <family val="2"/>
      <scheme val="minor"/>
    </font>
    <font>
      <b/>
      <sz val="12"/>
      <color theme="1"/>
      <name val="Calibri"/>
      <family val="2"/>
      <scheme val="minor"/>
    </font>
    <font>
      <b/>
      <sz val="12"/>
      <name val="Calibri"/>
      <family val="2"/>
      <scheme val="minor"/>
    </font>
    <font>
      <b/>
      <sz val="16"/>
      <color theme="1"/>
      <name val="Calibri"/>
      <family val="2"/>
      <scheme val="minor"/>
    </font>
    <font>
      <b/>
      <sz val="11"/>
      <name val="Calibri"/>
      <family val="2"/>
      <scheme val="minor"/>
    </font>
    <font>
      <sz val="11"/>
      <color theme="1"/>
      <name val="Calibri"/>
      <family val="2"/>
      <scheme val="minor"/>
    </font>
    <font>
      <sz val="8"/>
      <name val="Calibri"/>
      <family val="2"/>
      <scheme val="minor"/>
    </font>
    <font>
      <b/>
      <sz val="11"/>
      <color rgb="FF0070C0"/>
      <name val="Calibri"/>
      <family val="2"/>
      <scheme val="minor"/>
    </font>
    <font>
      <b/>
      <sz val="11"/>
      <color rgb="FF00B050"/>
      <name val="Calibri"/>
      <family val="2"/>
      <scheme val="minor"/>
    </font>
    <font>
      <b/>
      <sz val="11"/>
      <color theme="9" tint="-0.249977111117893"/>
      <name val="Calibri"/>
      <family val="2"/>
      <scheme val="minor"/>
    </font>
    <font>
      <b/>
      <sz val="14"/>
      <color theme="1"/>
      <name val="Calibri"/>
      <family val="2"/>
      <scheme val="minor"/>
    </font>
    <font>
      <sz val="11"/>
      <color rgb="FFFF0000"/>
      <name val="Calibri"/>
      <family val="2"/>
      <scheme val="minor"/>
    </font>
    <font>
      <b/>
      <sz val="11"/>
      <color rgb="FFFF0000"/>
      <name val="Calibri"/>
      <family val="2"/>
      <scheme val="minor"/>
    </font>
    <font>
      <sz val="9"/>
      <color indexed="81"/>
      <name val="Tahoma"/>
      <family val="2"/>
    </font>
    <font>
      <b/>
      <u/>
      <sz val="18"/>
      <color rgb="FF002060"/>
      <name val="Calibri"/>
      <family val="2"/>
      <scheme val="minor"/>
    </font>
    <font>
      <b/>
      <sz val="18"/>
      <color theme="1"/>
      <name val="Calibri"/>
      <family val="2"/>
      <scheme val="minor"/>
    </font>
    <font>
      <b/>
      <sz val="18"/>
      <color rgb="FF002060"/>
      <name val="Calibri"/>
      <family val="2"/>
      <scheme val="minor"/>
    </font>
    <font>
      <b/>
      <sz val="16"/>
      <color rgb="FF002060"/>
      <name val="Calibri"/>
      <family val="2"/>
      <scheme val="minor"/>
    </font>
    <font>
      <b/>
      <sz val="14"/>
      <color rgb="FF002060"/>
      <name val="Calibri"/>
      <family val="2"/>
      <scheme val="minor"/>
    </font>
    <font>
      <sz val="12"/>
      <color theme="1"/>
      <name val="Calibri"/>
      <family val="2"/>
      <scheme val="minor"/>
    </font>
    <font>
      <b/>
      <sz val="18"/>
      <color theme="4" tint="-0.249977111117893"/>
      <name val="Calibri"/>
      <family val="2"/>
      <scheme val="minor"/>
    </font>
    <font>
      <b/>
      <sz val="11"/>
      <color theme="4" tint="-0.249977111117893"/>
      <name val="Calibri"/>
      <family val="2"/>
      <scheme val="minor"/>
    </font>
    <font>
      <sz val="11"/>
      <color theme="4" tint="-0.249977111117893"/>
      <name val="Calibri"/>
      <family val="2"/>
      <scheme val="minor"/>
    </font>
    <font>
      <b/>
      <sz val="22"/>
      <color theme="4" tint="-0.249977111117893"/>
      <name val="Calibri"/>
      <family val="2"/>
      <scheme val="minor"/>
    </font>
    <font>
      <b/>
      <sz val="24"/>
      <color theme="4" tint="-0.249977111117893"/>
      <name val="Calibri"/>
      <family val="2"/>
      <scheme val="minor"/>
    </font>
    <font>
      <b/>
      <sz val="26"/>
      <color theme="4" tint="-0.249977111117893"/>
      <name val="Calibri"/>
      <family val="2"/>
      <scheme val="minor"/>
    </font>
    <font>
      <b/>
      <sz val="20"/>
      <color theme="4" tint="-0.499984740745262"/>
      <name val="Calibri"/>
      <family val="2"/>
      <scheme val="minor"/>
    </font>
    <font>
      <b/>
      <sz val="24"/>
      <color theme="4" tint="-0.499984740745262"/>
      <name val="Calibri"/>
      <family val="2"/>
      <scheme val="minor"/>
    </font>
    <font>
      <b/>
      <i/>
      <sz val="26"/>
      <color rgb="FF002060"/>
      <name val="Calibri"/>
      <family val="2"/>
      <scheme val="minor"/>
    </font>
    <font>
      <b/>
      <sz val="22"/>
      <color rgb="FF002060"/>
      <name val="Calibri"/>
      <family val="2"/>
      <scheme val="minor"/>
    </font>
    <font>
      <b/>
      <sz val="26"/>
      <color rgb="FF002060"/>
      <name val="Calibri"/>
      <family val="2"/>
      <scheme val="minor"/>
    </font>
    <font>
      <sz val="14"/>
      <color theme="1"/>
      <name val="Calibri"/>
      <family val="2"/>
      <scheme val="minor"/>
    </font>
    <font>
      <sz val="14"/>
      <color theme="4" tint="-0.249977111117893"/>
      <name val="Calibri"/>
      <family val="2"/>
      <scheme val="minor"/>
    </font>
    <font>
      <b/>
      <sz val="28"/>
      <color theme="4" tint="-0.249977111117893"/>
      <name val="Calibri"/>
      <family val="2"/>
      <scheme val="minor"/>
    </font>
    <font>
      <b/>
      <sz val="28"/>
      <color rgb="FF002060"/>
      <name val="Calibri"/>
      <family val="2"/>
      <scheme val="minor"/>
    </font>
    <font>
      <sz val="11"/>
      <color rgb="FF006100"/>
      <name val="Calibri"/>
      <family val="2"/>
      <scheme val="minor"/>
    </font>
    <font>
      <b/>
      <sz val="20"/>
      <color theme="4" tint="-0.249977111117893"/>
      <name val="Calibri"/>
      <family val="2"/>
      <scheme val="minor"/>
    </font>
    <font>
      <b/>
      <u/>
      <sz val="26"/>
      <color rgb="FF0070C0"/>
      <name val="Calibri"/>
      <family val="2"/>
      <scheme val="minor"/>
    </font>
    <font>
      <b/>
      <sz val="24"/>
      <color rgb="FF006100"/>
      <name val="Calibri"/>
      <family val="2"/>
      <scheme val="minor"/>
    </font>
  </fonts>
  <fills count="13">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
      <patternFill patternType="solid">
        <fgColor theme="0" tint="-0.249977111117893"/>
        <bgColor indexed="64"/>
      </patternFill>
    </fill>
    <fill>
      <patternFill patternType="solid">
        <fgColor rgb="FF92D050"/>
        <bgColor indexed="64"/>
      </patternFill>
    </fill>
    <fill>
      <patternFill patternType="solid">
        <fgColor theme="0"/>
        <bgColor indexed="64"/>
      </patternFill>
    </fill>
    <fill>
      <patternFill patternType="solid">
        <fgColor theme="0" tint="-0.14999847407452621"/>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rgb="FFC6EFCE"/>
      </patternFill>
    </fill>
    <fill>
      <patternFill patternType="solid">
        <fgColor theme="9" tint="0.59999389629810485"/>
        <bgColor indexed="64"/>
      </patternFill>
    </fill>
  </fills>
  <borders count="3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style="thin">
        <color auto="1"/>
      </left>
      <right/>
      <top/>
      <bottom/>
      <diagonal/>
    </border>
    <border>
      <left/>
      <right style="thin">
        <color auto="1"/>
      </right>
      <top/>
      <bottom/>
      <diagonal/>
    </border>
    <border>
      <left/>
      <right style="thin">
        <color auto="1"/>
      </right>
      <top style="thin">
        <color auto="1"/>
      </top>
      <bottom style="thin">
        <color auto="1"/>
      </bottom>
      <diagonal/>
    </border>
    <border>
      <left/>
      <right/>
      <top style="thin">
        <color auto="1"/>
      </top>
      <bottom style="thin">
        <color auto="1"/>
      </bottom>
      <diagonal/>
    </border>
    <border diagonalUp="1" diagonalDown="1">
      <left style="thin">
        <color auto="1"/>
      </left>
      <right style="thin">
        <color auto="1"/>
      </right>
      <top style="thin">
        <color auto="1"/>
      </top>
      <bottom style="thin">
        <color auto="1"/>
      </bottom>
      <diagonal style="thin">
        <color auto="1"/>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theme="3" tint="0.39994506668294322"/>
      </left>
      <right/>
      <top style="thin">
        <color theme="3" tint="0.39994506668294322"/>
      </top>
      <bottom/>
      <diagonal/>
    </border>
    <border>
      <left/>
      <right/>
      <top style="thin">
        <color theme="3" tint="0.39994506668294322"/>
      </top>
      <bottom/>
      <diagonal/>
    </border>
    <border>
      <left/>
      <right style="thin">
        <color theme="3" tint="0.39994506668294322"/>
      </right>
      <top style="thin">
        <color theme="3" tint="0.39994506668294322"/>
      </top>
      <bottom/>
      <diagonal/>
    </border>
    <border>
      <left style="thin">
        <color theme="3" tint="0.39994506668294322"/>
      </left>
      <right/>
      <top/>
      <bottom/>
      <diagonal/>
    </border>
    <border>
      <left/>
      <right style="thin">
        <color theme="3" tint="0.39994506668294322"/>
      </right>
      <top/>
      <bottom/>
      <diagonal/>
    </border>
    <border>
      <left style="thin">
        <color theme="3" tint="0.39994506668294322"/>
      </left>
      <right/>
      <top/>
      <bottom style="thin">
        <color theme="3" tint="0.39994506668294322"/>
      </bottom>
      <diagonal/>
    </border>
    <border>
      <left/>
      <right/>
      <top/>
      <bottom style="thin">
        <color theme="3" tint="0.39994506668294322"/>
      </bottom>
      <diagonal/>
    </border>
    <border>
      <left/>
      <right style="thin">
        <color theme="3" tint="0.39994506668294322"/>
      </right>
      <top/>
      <bottom style="thin">
        <color theme="3" tint="0.39994506668294322"/>
      </bottom>
      <diagonal/>
    </border>
    <border>
      <left style="medium">
        <color auto="1"/>
      </left>
      <right/>
      <top style="medium">
        <color auto="1"/>
      </top>
      <bottom style="medium">
        <color auto="1"/>
      </bottom>
      <diagonal/>
    </border>
    <border>
      <left/>
      <right/>
      <top style="thin">
        <color auto="1"/>
      </top>
      <bottom/>
      <diagonal/>
    </border>
  </borders>
  <cellStyleXfs count="3">
    <xf numFmtId="0" fontId="0" fillId="0" borderId="0"/>
    <xf numFmtId="9" fontId="6" fillId="0" borderId="0" applyFont="0" applyFill="0" applyBorder="0" applyAlignment="0" applyProtection="0"/>
    <xf numFmtId="0" fontId="36" fillId="11" borderId="0" applyNumberFormat="0" applyBorder="0" applyAlignment="0" applyProtection="0"/>
  </cellStyleXfs>
  <cellXfs count="410">
    <xf numFmtId="0" fontId="0" fillId="0" borderId="0" xfId="0"/>
    <xf numFmtId="0" fontId="0" fillId="0" borderId="0" xfId="0" applyAlignment="1">
      <alignment horizontal="center" vertical="center"/>
    </xf>
    <xf numFmtId="0" fontId="0" fillId="0" borderId="0" xfId="0" applyAlignment="1">
      <alignment vertical="center"/>
    </xf>
    <xf numFmtId="164" fontId="3" fillId="0" borderId="0" xfId="0" applyNumberFormat="1" applyFont="1" applyAlignment="1">
      <alignment vertical="center"/>
    </xf>
    <xf numFmtId="165" fontId="2" fillId="0" borderId="0" xfId="0" applyNumberFormat="1" applyFont="1" applyAlignment="1">
      <alignment vertical="center"/>
    </xf>
    <xf numFmtId="0" fontId="1" fillId="0" borderId="0" xfId="0" applyFont="1" applyAlignment="1">
      <alignment horizontal="right" vertical="center"/>
    </xf>
    <xf numFmtId="0" fontId="1" fillId="0" borderId="1" xfId="0" applyFont="1" applyBorder="1" applyAlignment="1">
      <alignment horizontal="center" vertical="center"/>
    </xf>
    <xf numFmtId="0" fontId="1" fillId="0" borderId="0" xfId="0" applyFont="1" applyAlignment="1">
      <alignment horizontal="center" vertical="center"/>
    </xf>
    <xf numFmtId="0" fontId="1" fillId="0" borderId="0" xfId="0" applyFont="1" applyAlignment="1">
      <alignment vertical="center"/>
    </xf>
    <xf numFmtId="0" fontId="0" fillId="0" borderId="0" xfId="0" applyAlignment="1">
      <alignment horizontal="left" vertical="center"/>
    </xf>
    <xf numFmtId="164" fontId="0" fillId="0" borderId="0" xfId="0" applyNumberFormat="1" applyAlignment="1">
      <alignment vertical="center"/>
    </xf>
    <xf numFmtId="0" fontId="1" fillId="0" borderId="2" xfId="0" applyFont="1" applyBorder="1" applyAlignment="1">
      <alignment horizontal="center" vertical="center"/>
    </xf>
    <xf numFmtId="0" fontId="1" fillId="0" borderId="2" xfId="0" applyFont="1" applyBorder="1" applyAlignment="1">
      <alignment horizontal="center" vertical="center" wrapText="1"/>
    </xf>
    <xf numFmtId="0" fontId="0" fillId="2" borderId="0" xfId="0" applyFill="1" applyAlignment="1">
      <alignment vertical="center"/>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1" fillId="2" borderId="0" xfId="0" applyFont="1" applyFill="1" applyAlignment="1">
      <alignment vertical="center" wrapText="1"/>
    </xf>
    <xf numFmtId="0" fontId="1" fillId="2" borderId="0" xfId="0" applyFont="1" applyFill="1" applyAlignment="1">
      <alignment vertical="center"/>
    </xf>
    <xf numFmtId="165" fontId="1" fillId="0" borderId="1" xfId="0" applyNumberFormat="1" applyFont="1" applyBorder="1" applyAlignment="1">
      <alignment horizontal="center" vertical="center"/>
    </xf>
    <xf numFmtId="10" fontId="1" fillId="0" borderId="1" xfId="1" applyNumberFormat="1" applyFont="1" applyBorder="1" applyAlignment="1">
      <alignment horizontal="center" vertical="center"/>
    </xf>
    <xf numFmtId="164" fontId="2" fillId="0" borderId="0" xfId="0" applyNumberFormat="1" applyFont="1" applyAlignment="1">
      <alignment vertical="center"/>
    </xf>
    <xf numFmtId="0" fontId="0" fillId="0" borderId="1" xfId="0" applyBorder="1" applyAlignment="1">
      <alignment horizontal="left" vertical="center"/>
    </xf>
    <xf numFmtId="9" fontId="1" fillId="0" borderId="0" xfId="1" applyFont="1" applyAlignment="1">
      <alignment vertical="center"/>
    </xf>
    <xf numFmtId="164" fontId="1" fillId="0" borderId="0" xfId="0" applyNumberFormat="1" applyFont="1" applyAlignment="1">
      <alignment vertical="center"/>
    </xf>
    <xf numFmtId="10" fontId="1" fillId="0" borderId="0" xfId="1" applyNumberFormat="1" applyFont="1" applyAlignment="1">
      <alignment vertical="center"/>
    </xf>
    <xf numFmtId="164" fontId="5" fillId="0" borderId="1" xfId="0" applyNumberFormat="1" applyFont="1" applyBorder="1" applyAlignment="1">
      <alignment vertical="center"/>
    </xf>
    <xf numFmtId="164" fontId="10" fillId="0" borderId="1" xfId="0" applyNumberFormat="1" applyFont="1" applyBorder="1" applyAlignment="1">
      <alignment vertical="center"/>
    </xf>
    <xf numFmtId="165" fontId="10" fillId="0" borderId="1" xfId="0" applyNumberFormat="1" applyFont="1" applyBorder="1" applyAlignment="1">
      <alignment vertical="center"/>
    </xf>
    <xf numFmtId="10" fontId="10" fillId="0" borderId="1" xfId="1" applyNumberFormat="1" applyFont="1" applyBorder="1" applyAlignment="1">
      <alignment horizontal="center" vertical="center"/>
    </xf>
    <xf numFmtId="164" fontId="8" fillId="0" borderId="1" xfId="0" applyNumberFormat="1" applyFont="1" applyBorder="1" applyAlignment="1">
      <alignment vertical="center"/>
    </xf>
    <xf numFmtId="165" fontId="8" fillId="0" borderId="1" xfId="0" applyNumberFormat="1" applyFont="1" applyBorder="1" applyAlignment="1">
      <alignment vertical="center"/>
    </xf>
    <xf numFmtId="10" fontId="8" fillId="0" borderId="1" xfId="1" applyNumberFormat="1" applyFont="1" applyBorder="1" applyAlignment="1">
      <alignment horizontal="center" vertical="center"/>
    </xf>
    <xf numFmtId="164" fontId="9" fillId="0" borderId="1" xfId="0" applyNumberFormat="1" applyFont="1" applyBorder="1" applyAlignment="1">
      <alignment vertical="center"/>
    </xf>
    <xf numFmtId="10" fontId="9" fillId="0" borderId="1" xfId="1" applyNumberFormat="1" applyFont="1" applyBorder="1" applyAlignment="1">
      <alignment horizontal="center" vertical="center"/>
    </xf>
    <xf numFmtId="0" fontId="2" fillId="3" borderId="0" xfId="0" applyFont="1" applyFill="1" applyAlignment="1">
      <alignment horizontal="center" vertical="center"/>
    </xf>
    <xf numFmtId="3" fontId="2" fillId="3" borderId="0" xfId="0" applyNumberFormat="1" applyFont="1" applyFill="1" applyAlignment="1">
      <alignment horizontal="center" vertical="center"/>
    </xf>
    <xf numFmtId="165" fontId="2" fillId="3" borderId="0" xfId="1" applyNumberFormat="1" applyFont="1" applyFill="1" applyAlignment="1">
      <alignment horizontal="center" vertical="center"/>
    </xf>
    <xf numFmtId="14" fontId="0" fillId="0" borderId="0" xfId="0" applyNumberFormat="1" applyAlignment="1">
      <alignment horizontal="center" vertical="center"/>
    </xf>
    <xf numFmtId="165" fontId="0" fillId="0" borderId="0" xfId="0" applyNumberFormat="1" applyAlignment="1">
      <alignment horizontal="center" vertical="center"/>
    </xf>
    <xf numFmtId="9" fontId="0" fillId="0" borderId="0" xfId="1" applyFont="1" applyAlignment="1">
      <alignment vertical="center"/>
    </xf>
    <xf numFmtId="14" fontId="0" fillId="0" borderId="0" xfId="0" applyNumberFormat="1" applyAlignment="1">
      <alignment horizontal="left" vertical="center"/>
    </xf>
    <xf numFmtId="0" fontId="1" fillId="0" borderId="1" xfId="0" applyFont="1" applyBorder="1" applyAlignment="1">
      <alignment vertical="center"/>
    </xf>
    <xf numFmtId="0" fontId="0" fillId="0" borderId="9" xfId="0" applyBorder="1" applyAlignment="1">
      <alignment vertical="center"/>
    </xf>
    <xf numFmtId="0" fontId="0" fillId="0" borderId="1" xfId="0" applyBorder="1" applyAlignment="1">
      <alignment vertical="center"/>
    </xf>
    <xf numFmtId="165" fontId="1" fillId="0" borderId="1" xfId="0" applyNumberFormat="1" applyFont="1" applyBorder="1" applyAlignment="1">
      <alignment vertical="center"/>
    </xf>
    <xf numFmtId="165" fontId="0" fillId="0" borderId="0" xfId="1" applyNumberFormat="1" applyFont="1" applyAlignment="1">
      <alignment horizontal="center" vertical="center"/>
    </xf>
    <xf numFmtId="0" fontId="1" fillId="3" borderId="1" xfId="0" applyFont="1" applyFill="1" applyBorder="1" applyAlignment="1">
      <alignment horizontal="center" vertical="center"/>
    </xf>
    <xf numFmtId="0" fontId="1" fillId="3" borderId="9" xfId="0" applyFont="1" applyFill="1" applyBorder="1" applyAlignment="1">
      <alignment vertical="center"/>
    </xf>
    <xf numFmtId="0" fontId="1" fillId="3" borderId="1" xfId="0" applyFont="1" applyFill="1" applyBorder="1" applyAlignment="1">
      <alignment vertical="center"/>
    </xf>
    <xf numFmtId="0" fontId="1" fillId="3" borderId="1" xfId="0" applyFont="1" applyFill="1" applyBorder="1" applyAlignment="1">
      <alignment horizontal="left" vertical="center"/>
    </xf>
    <xf numFmtId="164" fontId="1" fillId="3" borderId="1" xfId="0" applyNumberFormat="1" applyFont="1" applyFill="1" applyBorder="1" applyAlignment="1">
      <alignment vertical="center"/>
    </xf>
    <xf numFmtId="0" fontId="1" fillId="3" borderId="0" xfId="0" applyFont="1" applyFill="1" applyAlignment="1">
      <alignment vertical="center"/>
    </xf>
    <xf numFmtId="14" fontId="1" fillId="3" borderId="1" xfId="0" applyNumberFormat="1" applyFont="1" applyFill="1" applyBorder="1" applyAlignment="1">
      <alignment vertical="center"/>
    </xf>
    <xf numFmtId="0" fontId="1" fillId="0" borderId="0" xfId="0" applyFont="1" applyAlignment="1">
      <alignment horizontal="center" vertical="center"/>
    </xf>
    <xf numFmtId="0" fontId="1" fillId="0" borderId="0" xfId="0" applyFont="1" applyAlignment="1">
      <alignment vertical="center" wrapText="1"/>
    </xf>
    <xf numFmtId="14" fontId="0" fillId="0" borderId="0" xfId="0" applyNumberFormat="1" applyFont="1" applyAlignment="1">
      <alignment horizontal="center" vertical="center"/>
    </xf>
    <xf numFmtId="1" fontId="1" fillId="0" borderId="0" xfId="0" applyNumberFormat="1" applyFont="1" applyAlignment="1">
      <alignment vertical="center"/>
    </xf>
    <xf numFmtId="9" fontId="1" fillId="0" borderId="0" xfId="1" applyFont="1" applyAlignment="1">
      <alignment horizontal="center" vertical="center"/>
    </xf>
    <xf numFmtId="9" fontId="0" fillId="0" borderId="0" xfId="0" applyNumberFormat="1" applyAlignment="1">
      <alignment vertical="center"/>
    </xf>
    <xf numFmtId="14" fontId="0" fillId="0" borderId="0" xfId="0" applyNumberFormat="1" applyAlignment="1">
      <alignment horizontal="center"/>
    </xf>
    <xf numFmtId="0" fontId="4" fillId="0" borderId="0" xfId="0" applyFont="1" applyAlignment="1">
      <alignment horizontal="center" vertical="center"/>
    </xf>
    <xf numFmtId="1" fontId="1" fillId="3" borderId="0" xfId="0" applyNumberFormat="1" applyFont="1" applyFill="1" applyAlignment="1">
      <alignment vertical="center"/>
    </xf>
    <xf numFmtId="0" fontId="0" fillId="7" borderId="0" xfId="0" applyFill="1" applyAlignment="1">
      <alignment vertical="center"/>
    </xf>
    <xf numFmtId="14" fontId="0" fillId="7" borderId="0" xfId="0" applyNumberFormat="1" applyFill="1" applyAlignment="1">
      <alignment horizontal="center" vertical="center"/>
    </xf>
    <xf numFmtId="1" fontId="0" fillId="7" borderId="0" xfId="0" applyNumberFormat="1" applyFill="1" applyAlignment="1">
      <alignment vertical="center"/>
    </xf>
    <xf numFmtId="0" fontId="0" fillId="4" borderId="0" xfId="0" applyFill="1" applyAlignment="1">
      <alignment vertical="center"/>
    </xf>
    <xf numFmtId="0" fontId="0" fillId="4" borderId="0" xfId="0" applyFill="1" applyAlignment="1">
      <alignment horizontal="center" vertical="center"/>
    </xf>
    <xf numFmtId="14" fontId="0" fillId="4" borderId="0" xfId="0" applyNumberFormat="1" applyFill="1" applyAlignment="1">
      <alignment horizontal="center" vertical="center"/>
    </xf>
    <xf numFmtId="1" fontId="0" fillId="4" borderId="0" xfId="0" applyNumberFormat="1" applyFill="1" applyAlignment="1">
      <alignment vertical="center"/>
    </xf>
    <xf numFmtId="0" fontId="0" fillId="8" borderId="0" xfId="0" applyFill="1" applyAlignment="1">
      <alignment vertical="center"/>
    </xf>
    <xf numFmtId="0" fontId="0" fillId="8" borderId="0" xfId="0" applyFill="1" applyAlignment="1">
      <alignment horizontal="center" vertical="center"/>
    </xf>
    <xf numFmtId="14" fontId="0" fillId="8" borderId="0" xfId="0" applyNumberFormat="1" applyFill="1" applyAlignment="1">
      <alignment horizontal="center" vertical="center"/>
    </xf>
    <xf numFmtId="1" fontId="0" fillId="8" borderId="0" xfId="0" applyNumberFormat="1" applyFill="1" applyAlignment="1">
      <alignment vertical="center"/>
    </xf>
    <xf numFmtId="1" fontId="1" fillId="3" borderId="0" xfId="0" applyNumberFormat="1" applyFont="1" applyFill="1" applyAlignment="1">
      <alignment horizontal="center" vertical="center"/>
    </xf>
    <xf numFmtId="0" fontId="22" fillId="0" borderId="0" xfId="0" applyFont="1" applyBorder="1" applyAlignment="1">
      <alignment horizontal="center" vertical="center"/>
    </xf>
    <xf numFmtId="0" fontId="23" fillId="0" borderId="0" xfId="0" applyFont="1"/>
    <xf numFmtId="0" fontId="0" fillId="0" borderId="1" xfId="0" applyFont="1" applyBorder="1" applyAlignment="1">
      <alignment horizontal="center" vertical="center"/>
    </xf>
    <xf numFmtId="1" fontId="0" fillId="0" borderId="0" xfId="0" applyNumberFormat="1" applyAlignment="1">
      <alignment horizontal="center" vertical="center"/>
    </xf>
    <xf numFmtId="0" fontId="24" fillId="0" borderId="0" xfId="0" applyFont="1" applyBorder="1" applyAlignment="1">
      <alignment horizontal="center" vertical="center"/>
    </xf>
    <xf numFmtId="9" fontId="24" fillId="0" borderId="0" xfId="1" applyFont="1" applyBorder="1" applyAlignment="1">
      <alignment horizontal="center" vertical="center"/>
    </xf>
    <xf numFmtId="0" fontId="0" fillId="0" borderId="15" xfId="0" applyBorder="1"/>
    <xf numFmtId="0" fontId="0" fillId="0" borderId="18" xfId="0" applyBorder="1"/>
    <xf numFmtId="0" fontId="23" fillId="0" borderId="18" xfId="0" applyFont="1" applyBorder="1"/>
    <xf numFmtId="0" fontId="0" fillId="0" borderId="18" xfId="0" applyBorder="1" applyAlignment="1">
      <alignment vertical="center"/>
    </xf>
    <xf numFmtId="0" fontId="16" fillId="0" borderId="21" xfId="0" applyFont="1" applyBorder="1" applyAlignment="1">
      <alignment vertical="center"/>
    </xf>
    <xf numFmtId="1" fontId="26" fillId="0" borderId="0" xfId="0" applyNumberFormat="1" applyFont="1" applyBorder="1" applyAlignment="1">
      <alignment horizontal="center" vertical="center"/>
    </xf>
    <xf numFmtId="0" fontId="0" fillId="0" borderId="8" xfId="0" applyFont="1" applyBorder="1" applyAlignment="1">
      <alignment horizontal="center" vertical="center" wrapText="1"/>
    </xf>
    <xf numFmtId="0" fontId="0" fillId="0" borderId="0" xfId="0" applyFont="1" applyAlignment="1">
      <alignment horizontal="center" vertical="center"/>
    </xf>
    <xf numFmtId="0" fontId="20" fillId="3" borderId="0" xfId="0" applyFont="1" applyFill="1" applyAlignment="1">
      <alignment horizontal="center" vertical="center"/>
    </xf>
    <xf numFmtId="3" fontId="20" fillId="3" borderId="0" xfId="0" applyNumberFormat="1" applyFont="1" applyFill="1" applyAlignment="1">
      <alignment horizontal="center" vertical="center"/>
    </xf>
    <xf numFmtId="165" fontId="20" fillId="3" borderId="0" xfId="1" applyNumberFormat="1" applyFont="1" applyFill="1" applyAlignment="1">
      <alignment horizontal="center" vertical="center"/>
    </xf>
    <xf numFmtId="165" fontId="6" fillId="0" borderId="0" xfId="1" applyNumberFormat="1" applyFont="1" applyAlignment="1">
      <alignment horizontal="center" vertical="center"/>
    </xf>
    <xf numFmtId="0" fontId="0" fillId="0" borderId="19" xfId="0" applyBorder="1" applyAlignment="1">
      <alignment horizontal="center" vertical="center"/>
    </xf>
    <xf numFmtId="0" fontId="1" fillId="0" borderId="8" xfId="0" applyFont="1" applyBorder="1" applyAlignment="1">
      <alignment horizontal="center" vertical="center" wrapText="1"/>
    </xf>
    <xf numFmtId="0" fontId="24" fillId="0" borderId="0" xfId="0" applyFont="1" applyBorder="1" applyAlignment="1">
      <alignment vertical="center"/>
    </xf>
    <xf numFmtId="0" fontId="24" fillId="0" borderId="0" xfId="0" applyFont="1" applyBorder="1" applyAlignment="1">
      <alignment horizontal="left" vertical="center"/>
    </xf>
    <xf numFmtId="0" fontId="21" fillId="0" borderId="0" xfId="0" applyFont="1" applyBorder="1" applyAlignment="1">
      <alignment horizontal="center" vertical="center"/>
    </xf>
    <xf numFmtId="0" fontId="26" fillId="0" borderId="0" xfId="0" applyFont="1" applyBorder="1" applyAlignment="1">
      <alignment horizontal="center" vertical="center"/>
    </xf>
    <xf numFmtId="0" fontId="0" fillId="10" borderId="0" xfId="0" applyFill="1" applyBorder="1" applyAlignment="1">
      <alignment vertical="center"/>
    </xf>
    <xf numFmtId="0" fontId="21" fillId="10" borderId="19" xfId="0" applyFont="1" applyFill="1" applyBorder="1" applyAlignment="1">
      <alignment horizontal="center" vertical="center"/>
    </xf>
    <xf numFmtId="9" fontId="30" fillId="10" borderId="19" xfId="1" applyFont="1" applyFill="1" applyBorder="1" applyAlignment="1">
      <alignment horizontal="center" vertical="center"/>
    </xf>
    <xf numFmtId="0" fontId="0" fillId="10" borderId="21" xfId="0" applyFill="1" applyBorder="1" applyAlignment="1">
      <alignment vertical="center"/>
    </xf>
    <xf numFmtId="9" fontId="30" fillId="10" borderId="22" xfId="1" applyFont="1" applyFill="1" applyBorder="1" applyAlignment="1">
      <alignment horizontal="center" vertical="center"/>
    </xf>
    <xf numFmtId="9" fontId="30" fillId="10" borderId="0" xfId="1" applyFont="1" applyFill="1" applyBorder="1" applyAlignment="1">
      <alignment horizontal="center" vertical="center"/>
    </xf>
    <xf numFmtId="9" fontId="30" fillId="10" borderId="21" xfId="1" applyFont="1" applyFill="1" applyBorder="1" applyAlignment="1">
      <alignment horizontal="center" vertical="center"/>
    </xf>
    <xf numFmtId="14" fontId="1" fillId="3" borderId="1" xfId="0" applyNumberFormat="1" applyFont="1" applyFill="1" applyBorder="1" applyAlignment="1">
      <alignment horizontal="left" vertical="center"/>
    </xf>
    <xf numFmtId="14" fontId="0" fillId="0" borderId="1" xfId="0" applyNumberFormat="1" applyBorder="1" applyAlignment="1">
      <alignment horizontal="left" vertical="center"/>
    </xf>
    <xf numFmtId="0" fontId="23" fillId="0" borderId="19" xfId="0" applyFont="1" applyBorder="1" applyAlignment="1">
      <alignment horizontal="center"/>
    </xf>
    <xf numFmtId="0" fontId="0" fillId="0" borderId="22" xfId="0" applyBorder="1" applyAlignment="1">
      <alignment horizontal="center" vertical="center"/>
    </xf>
    <xf numFmtId="0" fontId="17" fillId="0" borderId="0" xfId="0" applyFont="1" applyBorder="1" applyAlignment="1">
      <alignment vertical="center"/>
    </xf>
    <xf numFmtId="1" fontId="31" fillId="0" borderId="0" xfId="0" applyNumberFormat="1" applyFont="1" applyBorder="1" applyAlignment="1">
      <alignment horizontal="center" vertical="center"/>
    </xf>
    <xf numFmtId="0" fontId="17" fillId="0" borderId="0" xfId="0" applyFont="1" applyBorder="1" applyAlignment="1">
      <alignment horizontal="left" vertical="center"/>
    </xf>
    <xf numFmtId="167" fontId="31" fillId="0" borderId="0" xfId="0" applyNumberFormat="1" applyFont="1" applyBorder="1" applyAlignment="1">
      <alignment horizontal="center" vertical="center"/>
    </xf>
    <xf numFmtId="9" fontId="30" fillId="0" borderId="0" xfId="1" applyFont="1" applyBorder="1" applyAlignment="1">
      <alignment horizontal="center" vertical="center"/>
    </xf>
    <xf numFmtId="0" fontId="0" fillId="0" borderId="0" xfId="0" applyBorder="1" applyAlignment="1">
      <alignment horizontal="center" vertical="center"/>
    </xf>
    <xf numFmtId="1" fontId="25" fillId="0" borderId="0" xfId="0" applyNumberFormat="1" applyFont="1" applyBorder="1" applyAlignment="1">
      <alignment horizontal="center" vertical="center"/>
    </xf>
    <xf numFmtId="0" fontId="31" fillId="0" borderId="0" xfId="0" applyFont="1" applyBorder="1" applyAlignment="1">
      <alignment vertical="center"/>
    </xf>
    <xf numFmtId="0" fontId="32" fillId="0" borderId="0" xfId="0" applyFont="1"/>
    <xf numFmtId="0" fontId="33" fillId="0" borderId="0" xfId="0" applyFont="1"/>
    <xf numFmtId="0" fontId="32" fillId="0" borderId="0" xfId="0" applyFont="1" applyAlignment="1">
      <alignment vertical="center"/>
    </xf>
    <xf numFmtId="0" fontId="1" fillId="3" borderId="12" xfId="0" applyFont="1" applyFill="1" applyBorder="1" applyAlignment="1">
      <alignment horizontal="right" vertical="center"/>
    </xf>
    <xf numFmtId="0" fontId="0" fillId="0" borderId="12" xfId="0" applyBorder="1" applyAlignment="1">
      <alignment horizontal="right" vertical="center"/>
    </xf>
    <xf numFmtId="0" fontId="0" fillId="0" borderId="0" xfId="0" applyBorder="1" applyAlignment="1">
      <alignment vertical="center"/>
    </xf>
    <xf numFmtId="0" fontId="1" fillId="3" borderId="0" xfId="0" applyFont="1" applyFill="1" applyAlignment="1">
      <alignment horizontal="center" vertical="center" wrapText="1"/>
    </xf>
    <xf numFmtId="0" fontId="1" fillId="0" borderId="9" xfId="0" applyFont="1" applyBorder="1" applyAlignment="1">
      <alignment horizontal="center" vertical="center" wrapText="1"/>
    </xf>
    <xf numFmtId="0" fontId="1" fillId="0" borderId="4" xfId="0" applyFont="1" applyBorder="1" applyAlignment="1">
      <alignment horizontal="center" vertical="center" wrapText="1"/>
    </xf>
    <xf numFmtId="0" fontId="4" fillId="0" borderId="0" xfId="0" applyFont="1" applyAlignment="1">
      <alignment horizontal="center" vertical="center"/>
    </xf>
    <xf numFmtId="0" fontId="31" fillId="10" borderId="0" xfId="0" applyFont="1" applyFill="1" applyBorder="1" applyAlignment="1">
      <alignment horizontal="center" vertical="center"/>
    </xf>
    <xf numFmtId="0" fontId="21" fillId="0" borderId="18" xfId="0" applyFont="1" applyBorder="1" applyAlignment="1">
      <alignment horizontal="center" vertical="center"/>
    </xf>
    <xf numFmtId="0" fontId="21" fillId="0" borderId="19" xfId="0" applyFont="1" applyBorder="1" applyAlignment="1">
      <alignment horizontal="center" vertical="center"/>
    </xf>
    <xf numFmtId="0" fontId="37" fillId="12" borderId="15" xfId="0" applyFont="1" applyFill="1" applyBorder="1" applyAlignment="1">
      <alignment vertical="center"/>
    </xf>
    <xf numFmtId="0" fontId="37" fillId="12" borderId="16" xfId="0" applyFont="1" applyFill="1" applyBorder="1" applyAlignment="1">
      <alignment vertical="center"/>
    </xf>
    <xf numFmtId="0" fontId="0" fillId="12" borderId="18" xfId="0" applyFill="1" applyBorder="1" applyAlignment="1">
      <alignment vertical="center"/>
    </xf>
    <xf numFmtId="0" fontId="11" fillId="12" borderId="0" xfId="0" applyFont="1" applyFill="1" applyBorder="1" applyAlignment="1">
      <alignment horizontal="center" vertical="center" wrapText="1"/>
    </xf>
    <xf numFmtId="0" fontId="38" fillId="12" borderId="19" xfId="0" applyFont="1" applyFill="1" applyBorder="1" applyAlignment="1">
      <alignment horizontal="center" vertical="center"/>
    </xf>
    <xf numFmtId="0" fontId="0" fillId="12" borderId="18" xfId="0" applyFont="1" applyFill="1" applyBorder="1" applyAlignment="1">
      <alignment horizontal="center" vertical="center"/>
    </xf>
    <xf numFmtId="0" fontId="0" fillId="12" borderId="0" xfId="0" applyFont="1" applyFill="1" applyBorder="1" applyAlignment="1">
      <alignment horizontal="center" vertical="center"/>
    </xf>
    <xf numFmtId="0" fontId="16" fillId="12" borderId="19" xfId="0" applyFont="1" applyFill="1" applyBorder="1" applyAlignment="1">
      <alignment vertical="center"/>
    </xf>
    <xf numFmtId="0" fontId="0" fillId="12" borderId="19" xfId="0" applyFill="1" applyBorder="1" applyAlignment="1">
      <alignment horizontal="center" vertical="center"/>
    </xf>
    <xf numFmtId="0" fontId="26" fillId="12" borderId="19" xfId="0" applyFont="1" applyFill="1" applyBorder="1" applyAlignment="1">
      <alignment vertical="center"/>
    </xf>
    <xf numFmtId="9" fontId="26" fillId="12" borderId="18" xfId="1" applyFont="1" applyFill="1" applyBorder="1" applyAlignment="1">
      <alignment vertical="center"/>
    </xf>
    <xf numFmtId="9" fontId="26" fillId="12" borderId="0" xfId="1" applyFont="1" applyFill="1" applyBorder="1" applyAlignment="1">
      <alignment vertical="center"/>
    </xf>
    <xf numFmtId="0" fontId="0" fillId="12" borderId="0" xfId="0" applyFill="1" applyBorder="1" applyAlignment="1">
      <alignment vertical="center"/>
    </xf>
    <xf numFmtId="0" fontId="0" fillId="12" borderId="20" xfId="0" applyFill="1" applyBorder="1" applyAlignment="1">
      <alignment vertical="center"/>
    </xf>
    <xf numFmtId="0" fontId="0" fillId="12" borderId="21" xfId="0" applyFill="1" applyBorder="1" applyAlignment="1">
      <alignment vertical="center"/>
    </xf>
    <xf numFmtId="0" fontId="0" fillId="12" borderId="22" xfId="0" applyFill="1" applyBorder="1" applyAlignment="1">
      <alignment horizontal="center" vertical="center"/>
    </xf>
    <xf numFmtId="0" fontId="11" fillId="0" borderId="0" xfId="0" applyFont="1" applyAlignment="1">
      <alignment vertical="center"/>
    </xf>
    <xf numFmtId="0" fontId="1" fillId="5" borderId="1" xfId="0" applyFont="1" applyFill="1" applyBorder="1" applyAlignment="1">
      <alignment horizontal="center" vertical="center"/>
    </xf>
    <xf numFmtId="0" fontId="1" fillId="5" borderId="9" xfId="0" applyFont="1" applyFill="1" applyBorder="1" applyAlignment="1">
      <alignment vertical="center"/>
    </xf>
    <xf numFmtId="0" fontId="1" fillId="5" borderId="12" xfId="0" applyFont="1" applyFill="1" applyBorder="1" applyAlignment="1">
      <alignment horizontal="right" vertical="center"/>
    </xf>
    <xf numFmtId="0" fontId="1" fillId="5" borderId="1" xfId="0" applyFont="1" applyFill="1" applyBorder="1" applyAlignment="1">
      <alignment vertical="center"/>
    </xf>
    <xf numFmtId="0" fontId="1" fillId="5" borderId="1" xfId="0" applyFont="1" applyFill="1" applyBorder="1" applyAlignment="1">
      <alignment horizontal="left" vertical="center"/>
    </xf>
    <xf numFmtId="14" fontId="1" fillId="5" borderId="1" xfId="0" applyNumberFormat="1" applyFont="1" applyFill="1" applyBorder="1" applyAlignment="1">
      <alignment horizontal="left" vertical="center"/>
    </xf>
    <xf numFmtId="164" fontId="1" fillId="5" borderId="1" xfId="0" applyNumberFormat="1" applyFont="1" applyFill="1" applyBorder="1" applyAlignment="1">
      <alignment vertical="center"/>
    </xf>
    <xf numFmtId="14" fontId="1" fillId="5" borderId="1" xfId="0" applyNumberFormat="1" applyFont="1" applyFill="1" applyBorder="1" applyAlignment="1">
      <alignment vertical="center"/>
    </xf>
    <xf numFmtId="0" fontId="1" fillId="5" borderId="0" xfId="0" applyFont="1" applyFill="1" applyAlignment="1">
      <alignment vertical="center"/>
    </xf>
    <xf numFmtId="14" fontId="1" fillId="5" borderId="1" xfId="0" applyNumberFormat="1" applyFont="1" applyFill="1" applyBorder="1" applyAlignment="1">
      <alignment horizontal="right" vertical="center"/>
    </xf>
    <xf numFmtId="0" fontId="1" fillId="5" borderId="2" xfId="0" applyFont="1" applyFill="1" applyBorder="1" applyAlignment="1">
      <alignment horizontal="center" vertical="center"/>
    </xf>
    <xf numFmtId="0" fontId="1" fillId="5" borderId="14" xfId="0" applyFont="1" applyFill="1" applyBorder="1" applyAlignment="1">
      <alignment vertical="center"/>
    </xf>
    <xf numFmtId="14" fontId="1" fillId="3" borderId="1" xfId="0" applyNumberFormat="1" applyFont="1" applyFill="1" applyBorder="1" applyAlignment="1">
      <alignment horizontal="center" vertical="center"/>
    </xf>
    <xf numFmtId="14" fontId="1" fillId="5" borderId="1" xfId="0" applyNumberFormat="1" applyFont="1" applyFill="1" applyBorder="1" applyAlignment="1">
      <alignment horizontal="center" vertical="center"/>
    </xf>
    <xf numFmtId="1" fontId="1" fillId="3" borderId="1" xfId="0" applyNumberFormat="1" applyFont="1" applyFill="1" applyBorder="1" applyAlignment="1">
      <alignment horizontal="center" vertical="center"/>
    </xf>
    <xf numFmtId="1" fontId="1" fillId="5" borderId="1" xfId="0" applyNumberFormat="1" applyFont="1" applyFill="1" applyBorder="1" applyAlignment="1">
      <alignment horizontal="center" vertical="center"/>
    </xf>
    <xf numFmtId="1" fontId="1" fillId="6" borderId="0" xfId="0" applyNumberFormat="1" applyFont="1" applyFill="1" applyAlignment="1">
      <alignment horizontal="center" vertical="center"/>
    </xf>
    <xf numFmtId="0" fontId="0" fillId="2" borderId="0" xfId="0" applyFill="1" applyAlignment="1">
      <alignment vertical="center" wrapText="1"/>
    </xf>
    <xf numFmtId="0" fontId="1" fillId="3" borderId="0" xfId="0" applyFont="1" applyFill="1" applyAlignment="1">
      <alignment horizontal="center" vertical="center"/>
    </xf>
    <xf numFmtId="0" fontId="1" fillId="5" borderId="0" xfId="0" applyFont="1" applyFill="1" applyAlignment="1">
      <alignment horizontal="center" vertical="center"/>
    </xf>
    <xf numFmtId="0" fontId="1" fillId="3" borderId="14" xfId="0" applyFont="1" applyFill="1" applyBorder="1" applyAlignment="1">
      <alignment vertical="center"/>
    </xf>
    <xf numFmtId="0" fontId="12" fillId="0" borderId="1" xfId="0" applyFont="1" applyBorder="1" applyAlignment="1">
      <alignment horizontal="center" vertical="center"/>
    </xf>
    <xf numFmtId="0" fontId="12" fillId="0" borderId="9" xfId="0" applyFont="1" applyBorder="1" applyAlignment="1">
      <alignment vertical="center"/>
    </xf>
    <xf numFmtId="0" fontId="12" fillId="0" borderId="12" xfId="0" applyFont="1" applyBorder="1" applyAlignment="1">
      <alignment horizontal="right" vertical="center"/>
    </xf>
    <xf numFmtId="0" fontId="12" fillId="0" borderId="1" xfId="0" applyFont="1" applyBorder="1" applyAlignment="1">
      <alignment vertical="center"/>
    </xf>
    <xf numFmtId="0" fontId="12" fillId="0" borderId="1" xfId="0" applyFont="1" applyBorder="1" applyAlignment="1">
      <alignment horizontal="left" vertical="center"/>
    </xf>
    <xf numFmtId="14" fontId="12" fillId="0" borderId="1" xfId="0" applyNumberFormat="1" applyFont="1" applyBorder="1" applyAlignment="1">
      <alignment horizontal="left" vertical="center"/>
    </xf>
    <xf numFmtId="164" fontId="12" fillId="0" borderId="1" xfId="0" applyNumberFormat="1" applyFont="1" applyBorder="1" applyAlignment="1">
      <alignment vertical="center"/>
    </xf>
    <xf numFmtId="3" fontId="12" fillId="0" borderId="1" xfId="0" applyNumberFormat="1" applyFont="1" applyBorder="1" applyAlignment="1">
      <alignment vertical="center"/>
    </xf>
    <xf numFmtId="0" fontId="12" fillId="2" borderId="0" xfId="0" applyFont="1" applyFill="1" applyAlignment="1">
      <alignment vertical="center"/>
    </xf>
    <xf numFmtId="0" fontId="12" fillId="0" borderId="0" xfId="0" applyFont="1" applyAlignment="1">
      <alignment vertical="center"/>
    </xf>
    <xf numFmtId="0" fontId="12" fillId="3" borderId="0" xfId="0" applyFont="1" applyFill="1" applyAlignment="1">
      <alignment vertical="center"/>
    </xf>
    <xf numFmtId="0" fontId="0" fillId="3" borderId="0" xfId="0" applyFont="1" applyFill="1" applyAlignment="1">
      <alignment horizontal="center" vertical="center"/>
    </xf>
    <xf numFmtId="14" fontId="1" fillId="3" borderId="1" xfId="0" applyNumberFormat="1" applyFont="1" applyFill="1" applyBorder="1" applyAlignment="1">
      <alignment horizontal="right" vertical="center"/>
    </xf>
    <xf numFmtId="0" fontId="5" fillId="5" borderId="1" xfId="0" applyFont="1" applyFill="1" applyBorder="1" applyAlignment="1">
      <alignment horizontal="center" vertical="center"/>
    </xf>
    <xf numFmtId="0" fontId="5" fillId="5" borderId="9" xfId="0" applyFont="1" applyFill="1" applyBorder="1" applyAlignment="1">
      <alignment vertical="center"/>
    </xf>
    <xf numFmtId="0" fontId="5" fillId="5" borderId="12" xfId="0" applyFont="1" applyFill="1" applyBorder="1" applyAlignment="1">
      <alignment horizontal="right" vertical="center"/>
    </xf>
    <xf numFmtId="0" fontId="5" fillId="5" borderId="1" xfId="0" applyFont="1" applyFill="1" applyBorder="1" applyAlignment="1">
      <alignment vertical="center"/>
    </xf>
    <xf numFmtId="0" fontId="5" fillId="5" borderId="1" xfId="0" applyFont="1" applyFill="1" applyBorder="1" applyAlignment="1">
      <alignment horizontal="left" vertical="center"/>
    </xf>
    <xf numFmtId="14" fontId="5" fillId="5" borderId="1" xfId="0" applyNumberFormat="1" applyFont="1" applyFill="1" applyBorder="1" applyAlignment="1">
      <alignment horizontal="left" vertical="center"/>
    </xf>
    <xf numFmtId="164" fontId="5" fillId="5" borderId="1" xfId="0" applyNumberFormat="1" applyFont="1" applyFill="1" applyBorder="1" applyAlignment="1">
      <alignment vertical="center"/>
    </xf>
    <xf numFmtId="0" fontId="5" fillId="5" borderId="0" xfId="0" applyFont="1" applyFill="1" applyAlignment="1">
      <alignment vertical="center"/>
    </xf>
    <xf numFmtId="0" fontId="5" fillId="5" borderId="0" xfId="0" applyFont="1" applyFill="1" applyAlignment="1">
      <alignment horizontal="center" vertical="center"/>
    </xf>
    <xf numFmtId="0" fontId="5" fillId="5" borderId="14" xfId="0" applyFont="1" applyFill="1" applyBorder="1" applyAlignment="1">
      <alignment vertical="center"/>
    </xf>
    <xf numFmtId="3" fontId="5" fillId="5" borderId="14" xfId="0" applyNumberFormat="1" applyFont="1" applyFill="1" applyBorder="1" applyAlignment="1">
      <alignment vertical="center"/>
    </xf>
    <xf numFmtId="0" fontId="5" fillId="5" borderId="14" xfId="0" applyFont="1" applyFill="1" applyBorder="1" applyAlignment="1">
      <alignment horizontal="center" vertical="center"/>
    </xf>
    <xf numFmtId="164" fontId="0" fillId="0" borderId="1" xfId="0" applyNumberFormat="1" applyFont="1" applyBorder="1" applyAlignment="1">
      <alignment vertical="center"/>
    </xf>
    <xf numFmtId="0" fontId="1" fillId="0" borderId="1" xfId="0" applyFont="1" applyBorder="1" applyAlignment="1">
      <alignment horizontal="center" vertical="center"/>
    </xf>
    <xf numFmtId="0" fontId="1" fillId="0" borderId="12" xfId="0" applyFont="1" applyBorder="1" applyAlignment="1">
      <alignment horizontal="right" vertical="center"/>
    </xf>
    <xf numFmtId="0" fontId="13" fillId="3" borderId="0" xfId="0" applyFont="1" applyFill="1" applyAlignment="1">
      <alignment vertical="center"/>
    </xf>
    <xf numFmtId="0" fontId="13" fillId="3" borderId="0" xfId="0" applyFont="1" applyFill="1" applyAlignment="1">
      <alignment horizontal="center" vertical="center"/>
    </xf>
    <xf numFmtId="0" fontId="13" fillId="3" borderId="1" xfId="0" applyFont="1" applyFill="1" applyBorder="1" applyAlignment="1">
      <alignment horizontal="center" vertical="center"/>
    </xf>
    <xf numFmtId="0" fontId="13" fillId="3" borderId="9" xfId="0" applyFont="1" applyFill="1" applyBorder="1" applyAlignment="1">
      <alignment vertical="center"/>
    </xf>
    <xf numFmtId="0" fontId="13" fillId="3" borderId="12" xfId="0" applyFont="1" applyFill="1" applyBorder="1" applyAlignment="1">
      <alignment horizontal="right" vertical="center"/>
    </xf>
    <xf numFmtId="0" fontId="13" fillId="3" borderId="1" xfId="0" applyFont="1" applyFill="1" applyBorder="1" applyAlignment="1">
      <alignment vertical="center"/>
    </xf>
    <xf numFmtId="0" fontId="13" fillId="3" borderId="1" xfId="0" applyFont="1" applyFill="1" applyBorder="1" applyAlignment="1">
      <alignment horizontal="left" vertical="center"/>
    </xf>
    <xf numFmtId="14" fontId="13" fillId="3" borderId="1" xfId="0" applyNumberFormat="1" applyFont="1" applyFill="1" applyBorder="1" applyAlignment="1">
      <alignment horizontal="left" vertical="center"/>
    </xf>
    <xf numFmtId="164" fontId="13" fillId="3" borderId="1" xfId="0" applyNumberFormat="1" applyFont="1" applyFill="1" applyBorder="1" applyAlignment="1">
      <alignment vertical="center"/>
    </xf>
    <xf numFmtId="0" fontId="13" fillId="3" borderId="14" xfId="0" applyFont="1" applyFill="1" applyBorder="1" applyAlignment="1">
      <alignment vertical="center"/>
    </xf>
    <xf numFmtId="3" fontId="13" fillId="3" borderId="14" xfId="0" applyNumberFormat="1" applyFont="1" applyFill="1" applyBorder="1" applyAlignment="1">
      <alignment vertical="center"/>
    </xf>
    <xf numFmtId="0" fontId="13" fillId="3" borderId="14" xfId="0" applyFont="1" applyFill="1" applyBorder="1" applyAlignment="1">
      <alignment horizontal="center" vertical="center"/>
    </xf>
    <xf numFmtId="0" fontId="1" fillId="0" borderId="9" xfId="0" applyFont="1" applyBorder="1" applyAlignment="1">
      <alignment vertical="center"/>
    </xf>
    <xf numFmtId="0" fontId="1" fillId="0" borderId="1" xfId="0" applyFont="1" applyBorder="1" applyAlignment="1">
      <alignment horizontal="left" vertical="center"/>
    </xf>
    <xf numFmtId="14" fontId="1" fillId="0" borderId="1" xfId="0" applyNumberFormat="1" applyFont="1" applyBorder="1" applyAlignment="1">
      <alignment horizontal="left" vertical="center"/>
    </xf>
    <xf numFmtId="14" fontId="1" fillId="0" borderId="1" xfId="0" applyNumberFormat="1" applyFont="1" applyBorder="1" applyAlignment="1">
      <alignment vertical="center"/>
    </xf>
    <xf numFmtId="164" fontId="1" fillId="0" borderId="1" xfId="0" applyNumberFormat="1" applyFont="1" applyBorder="1" applyAlignment="1">
      <alignment vertical="center"/>
    </xf>
    <xf numFmtId="0" fontId="0" fillId="0" borderId="9" xfId="0" applyFont="1" applyBorder="1" applyAlignment="1">
      <alignment vertical="center"/>
    </xf>
    <xf numFmtId="0" fontId="0" fillId="0" borderId="12" xfId="0" applyFont="1" applyBorder="1" applyAlignment="1">
      <alignment horizontal="right" vertical="center"/>
    </xf>
    <xf numFmtId="0" fontId="0" fillId="0" borderId="1" xfId="0" applyFont="1" applyBorder="1" applyAlignment="1">
      <alignment vertical="center"/>
    </xf>
    <xf numFmtId="0" fontId="0" fillId="0" borderId="1" xfId="0" applyFont="1" applyBorder="1" applyAlignment="1">
      <alignment horizontal="left" vertical="center"/>
    </xf>
    <xf numFmtId="14" fontId="0" fillId="0" borderId="1" xfId="0" applyNumberFormat="1" applyFont="1" applyBorder="1" applyAlignment="1">
      <alignment horizontal="left" vertical="center"/>
    </xf>
    <xf numFmtId="0" fontId="0" fillId="2" borderId="0" xfId="0" applyFont="1" applyFill="1" applyAlignment="1">
      <alignment vertical="center"/>
    </xf>
    <xf numFmtId="0" fontId="0" fillId="0" borderId="0" xfId="0" applyFont="1" applyAlignment="1">
      <alignment vertical="center"/>
    </xf>
    <xf numFmtId="0" fontId="1" fillId="0" borderId="1" xfId="0" applyFont="1" applyBorder="1" applyAlignment="1">
      <alignment horizontal="center" vertical="center"/>
    </xf>
    <xf numFmtId="0" fontId="1" fillId="0" borderId="12" xfId="0" applyFont="1" applyBorder="1" applyAlignment="1">
      <alignment horizontal="right" vertic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1" fillId="0" borderId="12" xfId="0" applyFont="1" applyBorder="1" applyAlignment="1">
      <alignment horizontal="right" vertical="center"/>
    </xf>
    <xf numFmtId="0" fontId="0" fillId="0" borderId="1" xfId="0" applyBorder="1" applyAlignment="1">
      <alignment horizontal="center" vertical="center"/>
    </xf>
    <xf numFmtId="0" fontId="1" fillId="0" borderId="1" xfId="0" applyFont="1" applyBorder="1" applyAlignment="1">
      <alignment horizontal="center" vertical="center"/>
    </xf>
    <xf numFmtId="0" fontId="13" fillId="0" borderId="1" xfId="0" applyFont="1" applyBorder="1" applyAlignment="1">
      <alignment vertical="center"/>
    </xf>
    <xf numFmtId="0" fontId="1" fillId="0" borderId="1" xfId="0" applyFont="1" applyBorder="1" applyAlignment="1">
      <alignment horizontal="center" vertical="center"/>
    </xf>
    <xf numFmtId="0" fontId="1" fillId="0" borderId="12" xfId="0" applyFont="1" applyBorder="1" applyAlignment="1">
      <alignment horizontal="right" vertical="center"/>
    </xf>
    <xf numFmtId="166" fontId="1" fillId="0" borderId="1" xfId="0" applyNumberFormat="1" applyFont="1" applyBorder="1" applyAlignment="1">
      <alignment vertical="center"/>
    </xf>
    <xf numFmtId="0" fontId="0" fillId="3" borderId="1" xfId="0" applyFont="1" applyFill="1" applyBorder="1" applyAlignment="1">
      <alignment horizontal="center" vertical="center"/>
    </xf>
    <xf numFmtId="0" fontId="0" fillId="3" borderId="1" xfId="0" applyFill="1" applyBorder="1" applyAlignment="1">
      <alignment horizontal="center" vertical="center"/>
    </xf>
    <xf numFmtId="1" fontId="0" fillId="0" borderId="0" xfId="0" applyNumberFormat="1" applyAlignment="1">
      <alignment vertical="center"/>
    </xf>
    <xf numFmtId="166" fontId="1" fillId="3" borderId="2" xfId="0" applyNumberFormat="1" applyFont="1" applyFill="1" applyBorder="1" applyAlignment="1">
      <alignment horizontal="right" vertical="center"/>
    </xf>
    <xf numFmtId="166" fontId="1" fillId="3" borderId="3" xfId="0" applyNumberFormat="1" applyFont="1" applyFill="1" applyBorder="1" applyAlignment="1">
      <alignment horizontal="right" vertical="center"/>
    </xf>
    <xf numFmtId="0" fontId="1" fillId="3" borderId="2"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3" xfId="0" applyFont="1" applyFill="1" applyBorder="1" applyAlignment="1">
      <alignment horizontal="center" vertical="center"/>
    </xf>
    <xf numFmtId="0" fontId="1" fillId="0" borderId="2" xfId="0" applyFont="1" applyBorder="1" applyAlignment="1">
      <alignment horizontal="left" vertical="center"/>
    </xf>
    <xf numFmtId="0" fontId="1" fillId="0" borderId="8" xfId="0" applyFont="1" applyBorder="1" applyAlignment="1">
      <alignment horizontal="left" vertical="center"/>
    </xf>
    <xf numFmtId="0" fontId="1" fillId="0" borderId="3" xfId="0" applyFont="1" applyBorder="1" applyAlignment="1">
      <alignment horizontal="left" vertical="center"/>
    </xf>
    <xf numFmtId="0" fontId="1" fillId="5" borderId="2" xfId="0" applyFont="1" applyFill="1" applyBorder="1" applyAlignment="1">
      <alignment horizontal="center" vertical="center"/>
    </xf>
    <xf numFmtId="0" fontId="1" fillId="5" borderId="8" xfId="0" applyFont="1" applyFill="1" applyBorder="1" applyAlignment="1">
      <alignment horizontal="center" vertical="center"/>
    </xf>
    <xf numFmtId="0" fontId="1" fillId="5" borderId="3" xfId="0" applyFont="1" applyFill="1" applyBorder="1" applyAlignment="1">
      <alignment horizontal="center" vertical="center"/>
    </xf>
    <xf numFmtId="0" fontId="1" fillId="5" borderId="2" xfId="0" applyFont="1" applyFill="1" applyBorder="1" applyAlignment="1">
      <alignment horizontal="left" vertical="center"/>
    </xf>
    <xf numFmtId="0" fontId="1" fillId="5" borderId="8" xfId="0" applyFont="1" applyFill="1" applyBorder="1" applyAlignment="1">
      <alignment horizontal="left" vertical="center"/>
    </xf>
    <xf numFmtId="0" fontId="1" fillId="5" borderId="3" xfId="0" applyFont="1" applyFill="1" applyBorder="1" applyAlignment="1">
      <alignment horizontal="left" vertical="center"/>
    </xf>
    <xf numFmtId="0" fontId="1" fillId="3" borderId="2" xfId="0" applyFont="1" applyFill="1" applyBorder="1" applyAlignment="1">
      <alignment horizontal="left" vertical="center"/>
    </xf>
    <xf numFmtId="0" fontId="1" fillId="3" borderId="8" xfId="0" applyFont="1" applyFill="1" applyBorder="1" applyAlignment="1">
      <alignment horizontal="left" vertical="center"/>
    </xf>
    <xf numFmtId="0" fontId="1" fillId="3" borderId="3" xfId="0" applyFont="1" applyFill="1" applyBorder="1" applyAlignment="1">
      <alignment horizontal="left" vertical="center"/>
    </xf>
    <xf numFmtId="164" fontId="1" fillId="3" borderId="2" xfId="0" applyNumberFormat="1" applyFont="1" applyFill="1" applyBorder="1" applyAlignment="1">
      <alignment horizontal="right" vertical="center"/>
    </xf>
    <xf numFmtId="164" fontId="1" fillId="3" borderId="8" xfId="0" applyNumberFormat="1" applyFont="1" applyFill="1" applyBorder="1" applyAlignment="1">
      <alignment horizontal="right" vertical="center"/>
    </xf>
    <xf numFmtId="164" fontId="1" fillId="3" borderId="3" xfId="0" applyNumberFormat="1" applyFont="1" applyFill="1" applyBorder="1" applyAlignment="1">
      <alignment horizontal="right" vertical="center"/>
    </xf>
    <xf numFmtId="164" fontId="1" fillId="5" borderId="2" xfId="0" applyNumberFormat="1" applyFont="1" applyFill="1" applyBorder="1" applyAlignment="1">
      <alignment horizontal="right" vertical="center"/>
    </xf>
    <xf numFmtId="164" fontId="1" fillId="5" borderId="8" xfId="0" applyNumberFormat="1" applyFont="1" applyFill="1" applyBorder="1" applyAlignment="1">
      <alignment horizontal="right" vertical="center"/>
    </xf>
    <xf numFmtId="164" fontId="1" fillId="5" borderId="3" xfId="0" applyNumberFormat="1" applyFont="1" applyFill="1" applyBorder="1" applyAlignment="1">
      <alignment horizontal="right" vertical="center"/>
    </xf>
    <xf numFmtId="164" fontId="1" fillId="0" borderId="2" xfId="0" applyNumberFormat="1" applyFont="1" applyBorder="1" applyAlignment="1">
      <alignment horizontal="right" vertical="center"/>
    </xf>
    <xf numFmtId="164" fontId="1" fillId="0" borderId="8" xfId="0" applyNumberFormat="1" applyFont="1" applyBorder="1" applyAlignment="1">
      <alignment horizontal="right" vertical="center"/>
    </xf>
    <xf numFmtId="164" fontId="1" fillId="0" borderId="3" xfId="0" applyNumberFormat="1" applyFont="1" applyBorder="1" applyAlignment="1">
      <alignment horizontal="right" vertical="center"/>
    </xf>
    <xf numFmtId="0" fontId="1" fillId="0" borderId="2" xfId="0" applyFont="1" applyBorder="1" applyAlignment="1">
      <alignment horizontal="center" vertical="center"/>
    </xf>
    <xf numFmtId="0" fontId="1" fillId="0" borderId="8" xfId="0" applyFont="1" applyBorder="1" applyAlignment="1">
      <alignment horizontal="center" vertical="center"/>
    </xf>
    <xf numFmtId="0" fontId="1" fillId="0" borderId="3" xfId="0" applyFont="1" applyBorder="1" applyAlignment="1">
      <alignment horizontal="center" vertical="center"/>
    </xf>
    <xf numFmtId="0" fontId="1" fillId="3" borderId="0" xfId="0" applyFont="1" applyFill="1" applyAlignment="1">
      <alignment horizontal="center" vertical="center" wrapText="1"/>
    </xf>
    <xf numFmtId="0" fontId="4" fillId="0" borderId="0" xfId="0" applyFont="1" applyAlignment="1">
      <alignment horizontal="center" vertical="center"/>
    </xf>
    <xf numFmtId="0" fontId="1" fillId="0" borderId="2" xfId="0" applyFont="1" applyBorder="1" applyAlignment="1">
      <alignment horizontal="center" vertical="center" wrapText="1"/>
    </xf>
    <xf numFmtId="0" fontId="1" fillId="0" borderId="8" xfId="0" applyFont="1" applyBorder="1" applyAlignment="1">
      <alignment horizontal="center" vertical="center" wrapText="1"/>
    </xf>
    <xf numFmtId="164" fontId="2" fillId="0" borderId="9" xfId="0" applyNumberFormat="1" applyFont="1" applyBorder="1" applyAlignment="1">
      <alignment horizontal="center" vertical="center"/>
    </xf>
    <xf numFmtId="164" fontId="2" fillId="0" borderId="13" xfId="0" applyNumberFormat="1" applyFont="1" applyBorder="1" applyAlignment="1">
      <alignment horizontal="center" vertical="center"/>
    </xf>
    <xf numFmtId="164" fontId="2" fillId="0" borderId="12" xfId="0" applyNumberFormat="1" applyFont="1" applyBorder="1" applyAlignment="1">
      <alignment horizontal="center" vertical="center"/>
    </xf>
    <xf numFmtId="0" fontId="9" fillId="0" borderId="1" xfId="0" applyFont="1" applyBorder="1" applyAlignment="1">
      <alignment horizontal="right" vertical="center"/>
    </xf>
    <xf numFmtId="0" fontId="1" fillId="0" borderId="1" xfId="0" applyFont="1" applyBorder="1" applyAlignment="1">
      <alignment horizontal="right" vertical="center"/>
    </xf>
    <xf numFmtId="164" fontId="3" fillId="0" borderId="9" xfId="0" applyNumberFormat="1" applyFont="1" applyBorder="1" applyAlignment="1">
      <alignment horizontal="center" vertical="center"/>
    </xf>
    <xf numFmtId="164" fontId="3" fillId="0" borderId="12" xfId="0" applyNumberFormat="1" applyFont="1" applyBorder="1" applyAlignment="1">
      <alignment horizontal="center" vertical="center"/>
    </xf>
    <xf numFmtId="0" fontId="8" fillId="0" borderId="1" xfId="0" applyFont="1" applyBorder="1" applyAlignment="1">
      <alignment horizontal="right" vertical="center"/>
    </xf>
    <xf numFmtId="0" fontId="10" fillId="0" borderId="9" xfId="0" applyFont="1" applyBorder="1" applyAlignment="1">
      <alignment horizontal="right" vertical="center"/>
    </xf>
    <xf numFmtId="0" fontId="10" fillId="0" borderId="12" xfId="0" applyFont="1" applyBorder="1" applyAlignment="1">
      <alignment horizontal="right" vertical="center"/>
    </xf>
    <xf numFmtId="0" fontId="1" fillId="0" borderId="1" xfId="0" applyFont="1" applyBorder="1" applyAlignment="1">
      <alignment horizontal="center" vertical="center"/>
    </xf>
    <xf numFmtId="0" fontId="1" fillId="0" borderId="9" xfId="0" applyFont="1" applyBorder="1" applyAlignment="1">
      <alignment horizontal="right" vertical="center"/>
    </xf>
    <xf numFmtId="0" fontId="1" fillId="0" borderId="12" xfId="0" applyFont="1" applyBorder="1" applyAlignment="1">
      <alignment horizontal="right" vertical="center"/>
    </xf>
    <xf numFmtId="0" fontId="1" fillId="0" borderId="1" xfId="0" applyFont="1" applyBorder="1" applyAlignment="1">
      <alignment horizontal="center" vertical="center" wrapText="1"/>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9" xfId="0" applyFont="1" applyBorder="1" applyAlignment="1">
      <alignment horizontal="center" vertical="center" wrapText="1"/>
    </xf>
    <xf numFmtId="0" fontId="1" fillId="0" borderId="4" xfId="0" applyFont="1" applyBorder="1" applyAlignment="1">
      <alignment horizontal="center" vertical="center" wrapText="1"/>
    </xf>
    <xf numFmtId="0" fontId="1" fillId="0" borderId="34" xfId="0" applyFont="1" applyBorder="1" applyAlignment="1">
      <alignment horizontal="center" vertical="center" wrapText="1"/>
    </xf>
    <xf numFmtId="0" fontId="1" fillId="0" borderId="5" xfId="0" applyFont="1" applyBorder="1" applyAlignment="1">
      <alignment horizontal="center" vertical="center" wrapText="1"/>
    </xf>
    <xf numFmtId="0" fontId="1" fillId="0" borderId="10" xfId="0" applyFont="1" applyBorder="1" applyAlignment="1">
      <alignment horizontal="center" vertical="center" wrapText="1"/>
    </xf>
    <xf numFmtId="0" fontId="1" fillId="0" borderId="0"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4" xfId="0" applyFont="1" applyBorder="1" applyAlignment="1">
      <alignment horizontal="center" vertical="center" textRotation="135" wrapText="1"/>
    </xf>
    <xf numFmtId="0" fontId="1" fillId="0" borderId="5" xfId="0" applyFont="1" applyBorder="1" applyAlignment="1">
      <alignment horizontal="center" vertical="center" textRotation="135" wrapText="1"/>
    </xf>
    <xf numFmtId="0" fontId="1" fillId="0" borderId="10" xfId="0" applyFont="1" applyBorder="1" applyAlignment="1">
      <alignment horizontal="center" vertical="center" textRotation="135" wrapText="1"/>
    </xf>
    <xf numFmtId="0" fontId="1" fillId="0" borderId="11" xfId="0" applyFont="1" applyBorder="1" applyAlignment="1">
      <alignment horizontal="center" vertical="center" textRotation="135" wrapText="1"/>
    </xf>
    <xf numFmtId="0" fontId="1" fillId="0" borderId="6" xfId="0" applyFont="1" applyBorder="1" applyAlignment="1">
      <alignment horizontal="center" vertical="center" textRotation="135" wrapText="1"/>
    </xf>
    <xf numFmtId="0" fontId="1" fillId="0" borderId="7" xfId="0" applyFont="1" applyBorder="1" applyAlignment="1">
      <alignment horizontal="center" vertical="center" textRotation="135" wrapText="1"/>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0" xfId="0" applyFont="1" applyAlignment="1">
      <alignment horizontal="center" vertical="center"/>
    </xf>
    <xf numFmtId="0" fontId="0" fillId="0" borderId="13" xfId="0" applyBorder="1" applyAlignment="1">
      <alignment horizontal="center" vertical="center"/>
    </xf>
    <xf numFmtId="166" fontId="1" fillId="5" borderId="2" xfId="0" applyNumberFormat="1" applyFont="1" applyFill="1" applyBorder="1" applyAlignment="1">
      <alignment horizontal="right" vertical="center"/>
    </xf>
    <xf numFmtId="166" fontId="1" fillId="5" borderId="3" xfId="0" applyNumberFormat="1" applyFont="1" applyFill="1" applyBorder="1" applyAlignment="1">
      <alignment horizontal="right" vertical="center"/>
    </xf>
    <xf numFmtId="164" fontId="1" fillId="0" borderId="2" xfId="0" applyNumberFormat="1" applyFont="1" applyFill="1" applyBorder="1" applyAlignment="1">
      <alignment horizontal="right" vertical="center"/>
    </xf>
    <xf numFmtId="164" fontId="1" fillId="0" borderId="3" xfId="0" applyNumberFormat="1" applyFont="1" applyFill="1" applyBorder="1" applyAlignment="1">
      <alignment horizontal="right"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166" fontId="0" fillId="0" borderId="2" xfId="0" applyNumberFormat="1" applyBorder="1" applyAlignment="1">
      <alignment horizontal="right" vertical="center"/>
    </xf>
    <xf numFmtId="166" fontId="0" fillId="0" borderId="3" xfId="0" applyNumberFormat="1" applyBorder="1" applyAlignment="1">
      <alignment horizontal="right" vertical="center"/>
    </xf>
    <xf numFmtId="0" fontId="32" fillId="0" borderId="0" xfId="0" applyFont="1" applyAlignment="1">
      <alignment horizontal="left" vertical="center"/>
    </xf>
    <xf numFmtId="0" fontId="11" fillId="0" borderId="0" xfId="0" applyFont="1" applyAlignment="1">
      <alignment horizontal="justify" vertical="center"/>
    </xf>
    <xf numFmtId="0" fontId="11" fillId="0" borderId="0" xfId="0" applyFont="1" applyAlignment="1">
      <alignment horizontal="justify" vertical="center" wrapText="1"/>
    </xf>
    <xf numFmtId="0" fontId="11" fillId="12" borderId="0" xfId="0" applyFont="1" applyFill="1" applyBorder="1" applyAlignment="1">
      <alignment horizontal="center" vertical="center"/>
    </xf>
    <xf numFmtId="0" fontId="0" fillId="12" borderId="0" xfId="0" applyFont="1" applyFill="1" applyBorder="1" applyAlignment="1">
      <alignment horizontal="center" vertical="center"/>
    </xf>
    <xf numFmtId="0" fontId="29" fillId="9" borderId="33" xfId="0" applyFont="1" applyFill="1" applyBorder="1" applyAlignment="1">
      <alignment horizontal="center" vertical="center"/>
    </xf>
    <xf numFmtId="0" fontId="29" fillId="9" borderId="23" xfId="0" applyFont="1" applyFill="1" applyBorder="1" applyAlignment="1">
      <alignment horizontal="center" vertical="center"/>
    </xf>
    <xf numFmtId="0" fontId="29" fillId="9" borderId="24" xfId="0" applyFont="1" applyFill="1" applyBorder="1" applyAlignment="1">
      <alignment horizontal="center" vertical="center"/>
    </xf>
    <xf numFmtId="0" fontId="21" fillId="0" borderId="26" xfId="0" applyFont="1" applyBorder="1" applyAlignment="1">
      <alignment horizontal="center" vertical="center" wrapText="1"/>
    </xf>
    <xf numFmtId="0" fontId="21" fillId="0" borderId="27" xfId="0" applyFont="1" applyBorder="1" applyAlignment="1">
      <alignment horizontal="center" vertical="center" wrapText="1"/>
    </xf>
    <xf numFmtId="0" fontId="21" fillId="0" borderId="0" xfId="0" applyFont="1" applyBorder="1" applyAlignment="1">
      <alignment horizontal="center" vertical="center" wrapText="1"/>
    </xf>
    <xf numFmtId="0" fontId="21" fillId="0" borderId="29" xfId="0" applyFont="1" applyBorder="1" applyAlignment="1">
      <alignment horizontal="center" vertical="center" wrapText="1"/>
    </xf>
    <xf numFmtId="1" fontId="34" fillId="0" borderId="0" xfId="0" applyNumberFormat="1" applyFont="1" applyBorder="1" applyAlignment="1">
      <alignment horizontal="center" vertical="center"/>
    </xf>
    <xf numFmtId="1" fontId="34" fillId="0" borderId="31" xfId="0" applyNumberFormat="1" applyFont="1" applyBorder="1" applyAlignment="1">
      <alignment horizontal="center" vertical="center"/>
    </xf>
    <xf numFmtId="0" fontId="21" fillId="0" borderId="29" xfId="0" applyFont="1" applyBorder="1" applyAlignment="1">
      <alignment horizontal="center" vertical="center"/>
    </xf>
    <xf numFmtId="0" fontId="21" fillId="0" borderId="32" xfId="0" applyFont="1" applyBorder="1" applyAlignment="1">
      <alignment horizontal="center" vertical="center"/>
    </xf>
    <xf numFmtId="0" fontId="0" fillId="0" borderId="16" xfId="0" applyBorder="1" applyAlignment="1">
      <alignment horizontal="center"/>
    </xf>
    <xf numFmtId="0" fontId="0" fillId="0" borderId="0" xfId="0" applyBorder="1" applyAlignment="1">
      <alignment horizontal="center"/>
    </xf>
    <xf numFmtId="0" fontId="0" fillId="0" borderId="17" xfId="0" applyBorder="1" applyAlignment="1">
      <alignment horizontal="center"/>
    </xf>
    <xf numFmtId="0" fontId="0" fillId="0" borderId="19" xfId="0" applyBorder="1" applyAlignment="1">
      <alignment horizontal="center"/>
    </xf>
    <xf numFmtId="0" fontId="27" fillId="0" borderId="16" xfId="0" applyFont="1" applyBorder="1" applyAlignment="1">
      <alignment horizontal="center" vertical="center"/>
    </xf>
    <xf numFmtId="0" fontId="27" fillId="0" borderId="0" xfId="0" applyFont="1" applyBorder="1" applyAlignment="1">
      <alignment horizontal="center" vertical="center"/>
    </xf>
    <xf numFmtId="0" fontId="28" fillId="0" borderId="0" xfId="0" applyFont="1" applyBorder="1" applyAlignment="1">
      <alignment horizontal="center" vertical="center"/>
    </xf>
    <xf numFmtId="0" fontId="18" fillId="0" borderId="15" xfId="0" applyFont="1" applyBorder="1" applyAlignment="1">
      <alignment horizontal="center" vertical="center" wrapText="1"/>
    </xf>
    <xf numFmtId="0" fontId="18" fillId="0" borderId="17"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19" xfId="0" applyFont="1" applyBorder="1" applyAlignment="1">
      <alignment horizontal="center" vertical="center" wrapText="1"/>
    </xf>
    <xf numFmtId="0" fontId="0" fillId="0" borderId="23" xfId="0" applyBorder="1" applyAlignment="1">
      <alignment horizontal="center"/>
    </xf>
    <xf numFmtId="0" fontId="15" fillId="0" borderId="15" xfId="0" applyFont="1" applyBorder="1" applyAlignment="1">
      <alignment horizontal="center" vertical="center" wrapText="1"/>
    </xf>
    <xf numFmtId="0" fontId="15" fillId="0" borderId="16" xfId="0" applyFont="1" applyBorder="1" applyAlignment="1">
      <alignment horizontal="center" vertical="center"/>
    </xf>
    <xf numFmtId="0" fontId="15" fillId="0" borderId="17" xfId="0" applyFont="1" applyBorder="1" applyAlignment="1">
      <alignment horizontal="center" vertical="center"/>
    </xf>
    <xf numFmtId="0" fontId="15" fillId="0" borderId="18" xfId="0" applyFont="1" applyBorder="1" applyAlignment="1">
      <alignment horizontal="center" vertical="center"/>
    </xf>
    <xf numFmtId="0" fontId="15" fillId="0" borderId="0" xfId="0" applyFont="1" applyBorder="1" applyAlignment="1">
      <alignment horizontal="center" vertical="center"/>
    </xf>
    <xf numFmtId="0" fontId="15" fillId="0" borderId="19" xfId="0" applyFont="1" applyBorder="1" applyAlignment="1">
      <alignment horizontal="center" vertical="center"/>
    </xf>
    <xf numFmtId="0" fontId="17" fillId="6" borderId="18" xfId="0" applyFont="1" applyFill="1" applyBorder="1" applyAlignment="1">
      <alignment horizontal="center" vertical="center" wrapText="1"/>
    </xf>
    <xf numFmtId="0" fontId="17" fillId="6" borderId="19" xfId="0" applyFont="1" applyFill="1" applyBorder="1" applyAlignment="1">
      <alignment horizontal="center" vertical="center" wrapText="1"/>
    </xf>
    <xf numFmtId="0" fontId="0" fillId="0" borderId="18" xfId="0" applyBorder="1" applyAlignment="1">
      <alignment horizontal="center"/>
    </xf>
    <xf numFmtId="0" fontId="0" fillId="0" borderId="20"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16" fillId="0" borderId="19" xfId="0" applyFont="1" applyBorder="1" applyAlignment="1">
      <alignment horizontal="center" vertical="center"/>
    </xf>
    <xf numFmtId="0" fontId="16" fillId="0" borderId="22" xfId="0" applyFont="1" applyBorder="1" applyAlignment="1">
      <alignment horizontal="center" vertical="center"/>
    </xf>
    <xf numFmtId="0" fontId="16" fillId="0" borderId="18" xfId="0" applyFont="1" applyBorder="1" applyAlignment="1">
      <alignment horizontal="center" vertical="center"/>
    </xf>
    <xf numFmtId="0" fontId="16" fillId="0" borderId="20" xfId="0" applyFont="1" applyBorder="1" applyAlignment="1">
      <alignment horizontal="center" vertical="center"/>
    </xf>
    <xf numFmtId="0" fontId="15" fillId="0" borderId="17" xfId="0" applyFont="1" applyBorder="1" applyAlignment="1">
      <alignment horizontal="center" vertical="center" wrapText="1"/>
    </xf>
    <xf numFmtId="0" fontId="15" fillId="0" borderId="18" xfId="0" applyFont="1" applyBorder="1" applyAlignment="1">
      <alignment horizontal="center" vertical="center" wrapText="1"/>
    </xf>
    <xf numFmtId="0" fontId="15" fillId="0" borderId="19" xfId="0" applyFont="1" applyBorder="1" applyAlignment="1">
      <alignment horizontal="center" vertical="center" wrapText="1"/>
    </xf>
    <xf numFmtId="0" fontId="21" fillId="0" borderId="15" xfId="0" applyFont="1" applyBorder="1" applyAlignment="1">
      <alignment horizontal="center" vertical="center"/>
    </xf>
    <xf numFmtId="0" fontId="21" fillId="0" borderId="16" xfId="0" applyFont="1" applyBorder="1" applyAlignment="1">
      <alignment horizontal="center" vertical="center"/>
    </xf>
    <xf numFmtId="0" fontId="21" fillId="0" borderId="17" xfId="0" applyFont="1"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8" xfId="0" applyBorder="1" applyAlignment="1">
      <alignment horizontal="center" vertical="center"/>
    </xf>
    <xf numFmtId="0" fontId="0" fillId="0" borderId="0" xfId="0"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0" fillId="12" borderId="0" xfId="0" applyFill="1" applyBorder="1" applyAlignment="1">
      <alignment horizontal="center" vertical="center"/>
    </xf>
    <xf numFmtId="0" fontId="30" fillId="10" borderId="20" xfId="0" applyFont="1" applyFill="1" applyBorder="1" applyAlignment="1">
      <alignment horizontal="left" vertical="center"/>
    </xf>
    <xf numFmtId="0" fontId="30" fillId="10" borderId="21" xfId="0" applyFont="1" applyFill="1" applyBorder="1" applyAlignment="1">
      <alignment horizontal="left" vertical="center"/>
    </xf>
    <xf numFmtId="1" fontId="31" fillId="10" borderId="0" xfId="0" applyNumberFormat="1" applyFont="1" applyFill="1" applyBorder="1" applyAlignment="1">
      <alignment horizontal="center" vertical="center"/>
    </xf>
    <xf numFmtId="1" fontId="31" fillId="10" borderId="21" xfId="0" applyNumberFormat="1" applyFont="1" applyFill="1" applyBorder="1" applyAlignment="1">
      <alignment horizontal="center" vertical="center"/>
    </xf>
    <xf numFmtId="0" fontId="37" fillId="12" borderId="16" xfId="0" applyFont="1" applyFill="1" applyBorder="1" applyAlignment="1">
      <alignment horizontal="center" vertical="center"/>
    </xf>
    <xf numFmtId="0" fontId="37" fillId="12" borderId="17" xfId="0" applyFont="1" applyFill="1" applyBorder="1" applyAlignment="1">
      <alignment horizontal="center" vertical="center"/>
    </xf>
    <xf numFmtId="0" fontId="37" fillId="12" borderId="0" xfId="0" applyFont="1" applyFill="1" applyBorder="1" applyAlignment="1">
      <alignment horizontal="center" vertical="center"/>
    </xf>
    <xf numFmtId="0" fontId="37" fillId="12" borderId="19" xfId="0" applyFont="1" applyFill="1" applyBorder="1" applyAlignment="1">
      <alignment horizontal="center" vertical="center"/>
    </xf>
    <xf numFmtId="0" fontId="30" fillId="10" borderId="18" xfId="0" applyFont="1" applyFill="1" applyBorder="1" applyAlignment="1">
      <alignment horizontal="left" vertical="center"/>
    </xf>
    <xf numFmtId="0" fontId="30" fillId="10" borderId="0" xfId="0" applyFont="1" applyFill="1" applyBorder="1" applyAlignment="1">
      <alignment horizontal="left" vertical="center"/>
    </xf>
    <xf numFmtId="0" fontId="31" fillId="10" borderId="0" xfId="0" applyFont="1" applyFill="1" applyBorder="1" applyAlignment="1">
      <alignment horizontal="center" vertical="center"/>
    </xf>
    <xf numFmtId="1" fontId="35" fillId="0" borderId="0" xfId="0" applyNumberFormat="1" applyFont="1" applyBorder="1" applyAlignment="1">
      <alignment horizontal="center" vertical="center"/>
    </xf>
    <xf numFmtId="0" fontId="15" fillId="0" borderId="21" xfId="0" applyFont="1" applyBorder="1" applyAlignment="1">
      <alignment horizontal="center" vertical="center"/>
    </xf>
    <xf numFmtId="0" fontId="30" fillId="0" borderId="0" xfId="0" applyFont="1" applyBorder="1" applyAlignment="1">
      <alignment horizontal="left" vertical="center"/>
    </xf>
    <xf numFmtId="0" fontId="21" fillId="10" borderId="15" xfId="0" applyFont="1" applyFill="1" applyBorder="1" applyAlignment="1">
      <alignment horizontal="center" vertical="center"/>
    </xf>
    <xf numFmtId="0" fontId="21" fillId="10" borderId="16" xfId="0" applyFont="1" applyFill="1" applyBorder="1" applyAlignment="1">
      <alignment horizontal="center" vertical="center"/>
    </xf>
    <xf numFmtId="0" fontId="21" fillId="10" borderId="17" xfId="0" applyFont="1" applyFill="1" applyBorder="1" applyAlignment="1">
      <alignment horizontal="center" vertical="center"/>
    </xf>
    <xf numFmtId="0" fontId="21" fillId="10" borderId="18" xfId="0" applyFont="1" applyFill="1" applyBorder="1" applyAlignment="1">
      <alignment horizontal="center" vertical="center"/>
    </xf>
    <xf numFmtId="0" fontId="21" fillId="10" borderId="0" xfId="0" applyFont="1" applyFill="1" applyBorder="1" applyAlignment="1">
      <alignment horizontal="center" vertical="center"/>
    </xf>
    <xf numFmtId="0" fontId="21" fillId="10" borderId="19" xfId="0" applyFont="1" applyFill="1" applyBorder="1" applyAlignment="1">
      <alignment horizontal="center" vertical="center"/>
    </xf>
    <xf numFmtId="0" fontId="39" fillId="11" borderId="15" xfId="2" applyFont="1" applyBorder="1" applyAlignment="1">
      <alignment horizontal="right" vertical="center"/>
    </xf>
    <xf numFmtId="0" fontId="39" fillId="11" borderId="16" xfId="2" applyFont="1" applyBorder="1" applyAlignment="1">
      <alignment horizontal="right" vertical="center"/>
    </xf>
    <xf numFmtId="0" fontId="39" fillId="11" borderId="20" xfId="2" applyFont="1" applyBorder="1" applyAlignment="1">
      <alignment horizontal="right" vertical="center"/>
    </xf>
    <xf numFmtId="0" fontId="39" fillId="11" borderId="21" xfId="2" applyFont="1" applyBorder="1" applyAlignment="1">
      <alignment horizontal="right" vertical="center"/>
    </xf>
    <xf numFmtId="0" fontId="0" fillId="0" borderId="15" xfId="0" applyBorder="1" applyAlignment="1">
      <alignment horizontal="center" vertical="center"/>
    </xf>
    <xf numFmtId="0" fontId="0" fillId="0" borderId="16" xfId="0" applyBorder="1" applyAlignment="1">
      <alignment horizontal="center" vertical="center"/>
    </xf>
    <xf numFmtId="0" fontId="0" fillId="0" borderId="17" xfId="0" applyBorder="1" applyAlignment="1">
      <alignment horizontal="center" vertical="center"/>
    </xf>
    <xf numFmtId="9" fontId="39" fillId="11" borderId="16" xfId="2" applyNumberFormat="1" applyFont="1" applyBorder="1" applyAlignment="1">
      <alignment horizontal="left" vertical="center"/>
    </xf>
    <xf numFmtId="9" fontId="39" fillId="11" borderId="17" xfId="2" applyNumberFormat="1" applyFont="1" applyBorder="1" applyAlignment="1">
      <alignment horizontal="left" vertical="center"/>
    </xf>
    <xf numFmtId="9" fontId="39" fillId="11" borderId="21" xfId="2" applyNumberFormat="1" applyFont="1" applyBorder="1" applyAlignment="1">
      <alignment horizontal="left" vertical="center"/>
    </xf>
    <xf numFmtId="9" fontId="39" fillId="11" borderId="22" xfId="2" applyNumberFormat="1" applyFont="1" applyBorder="1" applyAlignment="1">
      <alignment horizontal="left" vertical="center"/>
    </xf>
    <xf numFmtId="0" fontId="21" fillId="0" borderId="19" xfId="0" applyFont="1" applyBorder="1" applyAlignment="1">
      <alignment horizontal="center" vertical="center"/>
    </xf>
    <xf numFmtId="0" fontId="17" fillId="0" borderId="0" xfId="0" applyFont="1" applyBorder="1" applyAlignment="1">
      <alignment horizontal="center" vertical="center"/>
    </xf>
    <xf numFmtId="0" fontId="31" fillId="0" borderId="0" xfId="0" applyFont="1" applyBorder="1" applyAlignment="1">
      <alignment horizontal="center" vertical="center"/>
    </xf>
    <xf numFmtId="1" fontId="16" fillId="0" borderId="18" xfId="0" applyNumberFormat="1" applyFont="1" applyBorder="1" applyAlignment="1">
      <alignment horizontal="center" vertical="center"/>
    </xf>
    <xf numFmtId="1" fontId="16" fillId="0" borderId="20" xfId="0" applyNumberFormat="1" applyFont="1" applyBorder="1" applyAlignment="1">
      <alignment horizontal="center" vertical="center"/>
    </xf>
    <xf numFmtId="0" fontId="15" fillId="0" borderId="16" xfId="0" applyFont="1" applyBorder="1" applyAlignment="1">
      <alignment horizontal="center" vertical="center" wrapText="1"/>
    </xf>
    <xf numFmtId="0" fontId="15" fillId="0" borderId="0" xfId="0" applyFont="1" applyBorder="1" applyAlignment="1">
      <alignment horizontal="center" vertical="center" wrapText="1"/>
    </xf>
    <xf numFmtId="0" fontId="0" fillId="0" borderId="15" xfId="0" applyBorder="1" applyAlignment="1">
      <alignment horizontal="center"/>
    </xf>
    <xf numFmtId="0" fontId="32" fillId="0" borderId="0" xfId="0" applyFont="1" applyAlignment="1">
      <alignment horizontal="center" wrapText="1"/>
    </xf>
    <xf numFmtId="0" fontId="32" fillId="0" borderId="0" xfId="0" applyFont="1" applyAlignment="1">
      <alignment horizontal="left"/>
    </xf>
  </cellXfs>
  <cellStyles count="3">
    <cellStyle name="Normal" xfId="0" builtinId="0"/>
    <cellStyle name="Pourcentage" xfId="1" builtinId="5"/>
    <cellStyle name="Satisfaisant" xfId="2" builtinId="26"/>
  </cellStyles>
  <dxfs count="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colors>
    <mruColors>
      <color rgb="FFEAEAE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5"/>
    </mc:Choice>
    <mc:Fallback>
      <c:style val="5"/>
    </mc:Fallback>
  </mc:AlternateContent>
  <c:chart>
    <c:autoTitleDeleted val="1"/>
    <c:plotArea>
      <c:layout/>
      <c:pieChart>
        <c:varyColors val="1"/>
        <c:ser>
          <c:idx val="0"/>
          <c:order val="0"/>
          <c:tx>
            <c:strRef>
              <c:f>Feuil2!$B$8</c:f>
              <c:strCache>
                <c:ptCount val="1"/>
                <c:pt idx="0">
                  <c:v>Taux de disponibilité des moyens d'essais</c:v>
                </c:pt>
              </c:strCache>
            </c:strRef>
          </c:tx>
          <c:dPt>
            <c:idx val="0"/>
            <c:bubble3D val="0"/>
            <c:spPr>
              <a:solidFill>
                <a:schemeClr val="accent3">
                  <a:shade val="76000"/>
                </a:schemeClr>
              </a:solidFill>
              <a:ln w="19050">
                <a:solidFill>
                  <a:schemeClr val="lt1"/>
                </a:solidFill>
              </a:ln>
              <a:effectLst/>
            </c:spPr>
          </c:dPt>
          <c:dPt>
            <c:idx val="1"/>
            <c:bubble3D val="0"/>
            <c:spPr>
              <a:solidFill>
                <a:schemeClr val="accent3">
                  <a:tint val="77000"/>
                </a:schemeClr>
              </a:solidFill>
              <a:ln w="19050">
                <a:solidFill>
                  <a:schemeClr val="lt1"/>
                </a:solidFill>
              </a:ln>
              <a:effectLst/>
            </c:spPr>
          </c:dPt>
          <c:dLbls>
            <c:dLbl>
              <c:idx val="0"/>
              <c:layout>
                <c:manualLayout>
                  <c:x val="-4.4153458718212711E-2"/>
                  <c:y val="-0.21824761936427475"/>
                </c:manualLayout>
              </c:layout>
              <c:spPr>
                <a:noFill/>
                <a:ln>
                  <a:noFill/>
                </a:ln>
                <a:effectLst/>
              </c:spPr>
              <c:txPr>
                <a:bodyPr rot="0" spcFirstLastPara="1" vertOverflow="ellipsis" vert="horz" wrap="square" lIns="38100" tIns="19050" rIns="38100" bIns="19050" anchor="ctr" anchorCtr="1">
                  <a:spAutoFit/>
                </a:bodyPr>
                <a:lstStyle/>
                <a:p>
                  <a:pPr>
                    <a:defRPr sz="20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fr-FR"/>
              </a:p>
            </c:txPr>
            <c:showLegendKey val="0"/>
            <c:showVal val="0"/>
            <c:showCatName val="0"/>
            <c:showSerName val="0"/>
            <c:showPercent val="0"/>
            <c:showBubbleSize val="0"/>
            <c:extLst>
              <c:ext xmlns:c15="http://schemas.microsoft.com/office/drawing/2012/chart" uri="{CE6537A1-D6FC-4f65-9D91-7224C49458BB}"/>
            </c:extLst>
          </c:dLbls>
          <c:val>
            <c:numRef>
              <c:f>(Feuil2!$O$8,Feuil2!$P$8)</c:f>
              <c:numCache>
                <c:formatCode>0%</c:formatCode>
                <c:ptCount val="2"/>
                <c:pt idx="0">
                  <c:v>0.95</c:v>
                </c:pt>
                <c:pt idx="1">
                  <c:v>5.0000000000000044E-2</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fr-FR"/>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pieChart>
        <c:varyColors val="1"/>
        <c:ser>
          <c:idx val="0"/>
          <c:order val="0"/>
          <c:tx>
            <c:strRef>
              <c:f>Feuil2!$B$10</c:f>
              <c:strCache>
                <c:ptCount val="1"/>
                <c:pt idx="0">
                  <c:v>Taux d'occupation des moyens d'essai</c:v>
                </c:pt>
              </c:strCache>
            </c:strRef>
          </c:tx>
          <c:dPt>
            <c:idx val="0"/>
            <c:bubble3D val="0"/>
            <c:spPr>
              <a:solidFill>
                <a:schemeClr val="accent5">
                  <a:shade val="76000"/>
                </a:schemeClr>
              </a:solidFill>
              <a:ln w="19050">
                <a:solidFill>
                  <a:schemeClr val="lt1"/>
                </a:solidFill>
              </a:ln>
              <a:effectLst/>
            </c:spPr>
          </c:dPt>
          <c:dPt>
            <c:idx val="1"/>
            <c:bubble3D val="0"/>
            <c:spPr>
              <a:solidFill>
                <a:schemeClr val="accent5">
                  <a:tint val="77000"/>
                </a:schemeClr>
              </a:solidFill>
              <a:ln w="19050">
                <a:solidFill>
                  <a:schemeClr val="lt1"/>
                </a:solidFill>
              </a:ln>
              <a:effectLst/>
            </c:spPr>
          </c:dPt>
          <c:dLbls>
            <c:dLbl>
              <c:idx val="0"/>
              <c:layout>
                <c:manualLayout>
                  <c:x val="-0.18950176691668219"/>
                  <c:y val="-9.4851471950885086E-2"/>
                </c:manualLayout>
              </c:layout>
              <c:showLegendKey val="0"/>
              <c:showVal val="1"/>
              <c:showCatName val="0"/>
              <c:showSerName val="0"/>
              <c:showPercent val="0"/>
              <c:showBubbleSize val="0"/>
              <c:extLst>
                <c:ext xmlns:c15="http://schemas.microsoft.com/office/drawing/2012/chart" uri="{CE6537A1-D6FC-4f65-9D91-7224C49458BB}"/>
              </c:extLst>
            </c:dLbl>
            <c:dLbl>
              <c:idx val="1"/>
              <c:delete val="1"/>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0">
                <a:spAutoFit/>
              </a:bodyPr>
              <a:lstStyle/>
              <a:p>
                <a:pPr algn="ctr">
                  <a:defRPr lang="fr-FR" sz="1800" b="1" i="0" u="none" strike="noStrike" kern="1200" baseline="0">
                    <a:solidFill>
                      <a:schemeClr val="tx1">
                        <a:lumMod val="75000"/>
                        <a:lumOff val="25000"/>
                      </a:schemeClr>
                    </a:solidFill>
                    <a:latin typeface="+mn-lt"/>
                    <a:ea typeface="+mn-ea"/>
                    <a:cs typeface="+mn-cs"/>
                  </a:defRPr>
                </a:pPr>
                <a:endParaRPr lang="fr-FR"/>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val>
            <c:numRef>
              <c:f>(Feuil2!$O$10,Feuil2!$P$10)</c:f>
              <c:numCache>
                <c:formatCode>0%</c:formatCode>
                <c:ptCount val="2"/>
                <c:pt idx="0">
                  <c:v>0.74318181818181817</c:v>
                </c:pt>
                <c:pt idx="1">
                  <c:v>0.25681818181818183</c:v>
                </c:pt>
              </c:numCache>
            </c:numRef>
          </c:val>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6.png"/><Relationship Id="rId3" Type="http://schemas.openxmlformats.org/officeDocument/2006/relationships/image" Target="../media/image1.png"/><Relationship Id="rId7"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4.png"/><Relationship Id="rId5" Type="http://schemas.openxmlformats.org/officeDocument/2006/relationships/image" Target="../media/image3.png"/><Relationship Id="rId10" Type="http://schemas.openxmlformats.org/officeDocument/2006/relationships/image" Target="../media/image8.png"/><Relationship Id="rId4" Type="http://schemas.openxmlformats.org/officeDocument/2006/relationships/image" Target="../media/image2.png"/><Relationship Id="rId9"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1</xdr:col>
      <xdr:colOff>200025</xdr:colOff>
      <xdr:row>30</xdr:row>
      <xdr:rowOff>0</xdr:rowOff>
    </xdr:from>
    <xdr:to>
      <xdr:col>7</xdr:col>
      <xdr:colOff>657225</xdr:colOff>
      <xdr:row>44</xdr:row>
      <xdr:rowOff>76200</xdr:rowOff>
    </xdr:to>
    <xdr:graphicFrame macro="">
      <xdr:nvGraphicFramePr>
        <xdr:cNvPr id="7" name="Graphique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114299</xdr:colOff>
      <xdr:row>29</xdr:row>
      <xdr:rowOff>76200</xdr:rowOff>
    </xdr:from>
    <xdr:to>
      <xdr:col>21</xdr:col>
      <xdr:colOff>690562</xdr:colOff>
      <xdr:row>45</xdr:row>
      <xdr:rowOff>95251</xdr:rowOff>
    </xdr:to>
    <xdr:graphicFrame macro="">
      <xdr:nvGraphicFramePr>
        <xdr:cNvPr id="10" name="Graphique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119061</xdr:colOff>
      <xdr:row>0</xdr:row>
      <xdr:rowOff>71438</xdr:rowOff>
    </xdr:from>
    <xdr:to>
      <xdr:col>3</xdr:col>
      <xdr:colOff>702469</xdr:colOff>
      <xdr:row>3</xdr:row>
      <xdr:rowOff>154781</xdr:rowOff>
    </xdr:to>
    <xdr:pic>
      <xdr:nvPicPr>
        <xdr:cNvPr id="2" name="Image 1"/>
        <xdr:cNvPicPr>
          <a:picLocks noChangeAspect="1"/>
        </xdr:cNvPicPr>
      </xdr:nvPicPr>
      <xdr:blipFill rotWithShape="1">
        <a:blip xmlns:r="http://schemas.openxmlformats.org/officeDocument/2006/relationships" r:embed="rId3"/>
        <a:srcRect l="4435" t="31441" r="50000" b="33283"/>
        <a:stretch/>
      </xdr:blipFill>
      <xdr:spPr>
        <a:xfrm>
          <a:off x="333374" y="71438"/>
          <a:ext cx="2155033" cy="964406"/>
        </a:xfrm>
        <a:prstGeom prst="rect">
          <a:avLst/>
        </a:prstGeom>
      </xdr:spPr>
    </xdr:pic>
    <xdr:clientData/>
  </xdr:twoCellAnchor>
  <xdr:twoCellAnchor editAs="oneCell">
    <xdr:from>
      <xdr:col>6</xdr:col>
      <xdr:colOff>47625</xdr:colOff>
      <xdr:row>7</xdr:row>
      <xdr:rowOff>34017</xdr:rowOff>
    </xdr:from>
    <xdr:to>
      <xdr:col>7</xdr:col>
      <xdr:colOff>332110</xdr:colOff>
      <xdr:row>8</xdr:row>
      <xdr:rowOff>556124</xdr:rowOff>
    </xdr:to>
    <xdr:pic>
      <xdr:nvPicPr>
        <xdr:cNvPr id="4" name="Image 3"/>
        <xdr:cNvPicPr>
          <a:picLocks noChangeAspect="1"/>
        </xdr:cNvPicPr>
      </xdr:nvPicPr>
      <xdr:blipFill>
        <a:blip xmlns:r="http://schemas.openxmlformats.org/officeDocument/2006/relationships" r:embed="rId4"/>
        <a:stretch>
          <a:fillRect/>
        </a:stretch>
      </xdr:blipFill>
      <xdr:spPr>
        <a:xfrm>
          <a:off x="4170589" y="1857374"/>
          <a:ext cx="1060092" cy="1080000"/>
        </a:xfrm>
        <a:prstGeom prst="rect">
          <a:avLst/>
        </a:prstGeom>
      </xdr:spPr>
    </xdr:pic>
    <xdr:clientData/>
  </xdr:twoCellAnchor>
  <xdr:twoCellAnchor editAs="oneCell">
    <xdr:from>
      <xdr:col>10</xdr:col>
      <xdr:colOff>35718</xdr:colOff>
      <xdr:row>7</xdr:row>
      <xdr:rowOff>35573</xdr:rowOff>
    </xdr:from>
    <xdr:to>
      <xdr:col>11</xdr:col>
      <xdr:colOff>285691</xdr:colOff>
      <xdr:row>8</xdr:row>
      <xdr:rowOff>548155</xdr:rowOff>
    </xdr:to>
    <xdr:pic>
      <xdr:nvPicPr>
        <xdr:cNvPr id="5" name="Image 4"/>
        <xdr:cNvPicPr>
          <a:picLocks noChangeAspect="1"/>
        </xdr:cNvPicPr>
      </xdr:nvPicPr>
      <xdr:blipFill rotWithShape="1">
        <a:blip xmlns:r="http://schemas.openxmlformats.org/officeDocument/2006/relationships" r:embed="rId5"/>
        <a:srcRect l="29297" t="13959" r="29688" b="21954"/>
        <a:stretch/>
      </xdr:blipFill>
      <xdr:spPr>
        <a:xfrm>
          <a:off x="7261111" y="1858930"/>
          <a:ext cx="1025580" cy="1080000"/>
        </a:xfrm>
        <a:prstGeom prst="rect">
          <a:avLst/>
        </a:prstGeom>
      </xdr:spPr>
    </xdr:pic>
    <xdr:clientData/>
  </xdr:twoCellAnchor>
  <xdr:twoCellAnchor editAs="oneCell">
    <xdr:from>
      <xdr:col>1</xdr:col>
      <xdr:colOff>59532</xdr:colOff>
      <xdr:row>20</xdr:row>
      <xdr:rowOff>62922</xdr:rowOff>
    </xdr:from>
    <xdr:to>
      <xdr:col>2</xdr:col>
      <xdr:colOff>678656</xdr:colOff>
      <xdr:row>24</xdr:row>
      <xdr:rowOff>71437</xdr:rowOff>
    </xdr:to>
    <xdr:pic>
      <xdr:nvPicPr>
        <xdr:cNvPr id="8" name="Image 7"/>
        <xdr:cNvPicPr>
          <a:picLocks noChangeAspect="1"/>
        </xdr:cNvPicPr>
      </xdr:nvPicPr>
      <xdr:blipFill rotWithShape="1">
        <a:blip xmlns:r="http://schemas.openxmlformats.org/officeDocument/2006/relationships" r:embed="rId6"/>
        <a:srcRect l="25454" t="12295" r="9090" b="5055"/>
        <a:stretch/>
      </xdr:blipFill>
      <xdr:spPr>
        <a:xfrm>
          <a:off x="309563" y="7170953"/>
          <a:ext cx="1404937" cy="1270578"/>
        </a:xfrm>
        <a:prstGeom prst="rect">
          <a:avLst/>
        </a:prstGeom>
      </xdr:spPr>
    </xdr:pic>
    <xdr:clientData/>
  </xdr:twoCellAnchor>
  <xdr:oneCellAnchor>
    <xdr:from>
      <xdr:col>1</xdr:col>
      <xdr:colOff>198437</xdr:colOff>
      <xdr:row>14</xdr:row>
      <xdr:rowOff>83343</xdr:rowOff>
    </xdr:from>
    <xdr:ext cx="1309687" cy="1182121"/>
    <xdr:pic>
      <xdr:nvPicPr>
        <xdr:cNvPr id="11" name="Image 10"/>
        <xdr:cNvPicPr>
          <a:picLocks noChangeAspect="1"/>
        </xdr:cNvPicPr>
      </xdr:nvPicPr>
      <xdr:blipFill rotWithShape="1">
        <a:blip xmlns:r="http://schemas.openxmlformats.org/officeDocument/2006/relationships" r:embed="rId7"/>
        <a:srcRect l="16403" r="18552" b="32566"/>
        <a:stretch/>
      </xdr:blipFill>
      <xdr:spPr>
        <a:xfrm>
          <a:off x="452437" y="4734718"/>
          <a:ext cx="1309687" cy="1182121"/>
        </a:xfrm>
        <a:prstGeom prst="rect">
          <a:avLst/>
        </a:prstGeom>
      </xdr:spPr>
    </xdr:pic>
    <xdr:clientData/>
  </xdr:oneCellAnchor>
  <xdr:twoCellAnchor editAs="oneCell">
    <xdr:from>
      <xdr:col>7</xdr:col>
      <xdr:colOff>150813</xdr:colOff>
      <xdr:row>14</xdr:row>
      <xdr:rowOff>75407</xdr:rowOff>
    </xdr:from>
    <xdr:to>
      <xdr:col>8</xdr:col>
      <xdr:colOff>567532</xdr:colOff>
      <xdr:row>17</xdr:row>
      <xdr:rowOff>274411</xdr:rowOff>
    </xdr:to>
    <xdr:pic>
      <xdr:nvPicPr>
        <xdr:cNvPr id="3" name="Image 2"/>
        <xdr:cNvPicPr>
          <a:picLocks noChangeAspect="1"/>
        </xdr:cNvPicPr>
      </xdr:nvPicPr>
      <xdr:blipFill rotWithShape="1">
        <a:blip xmlns:r="http://schemas.openxmlformats.org/officeDocument/2006/relationships" r:embed="rId8"/>
        <a:srcRect l="10235" t="5512" r="9450" b="5512"/>
        <a:stretch/>
      </xdr:blipFill>
      <xdr:spPr>
        <a:xfrm>
          <a:off x="5072063" y="4726782"/>
          <a:ext cx="1194594" cy="1151504"/>
        </a:xfrm>
        <a:prstGeom prst="rect">
          <a:avLst/>
        </a:prstGeom>
      </xdr:spPr>
    </xdr:pic>
    <xdr:clientData/>
  </xdr:twoCellAnchor>
  <xdr:twoCellAnchor>
    <xdr:from>
      <xdr:col>1</xdr:col>
      <xdr:colOff>721179</xdr:colOff>
      <xdr:row>20</xdr:row>
      <xdr:rowOff>163286</xdr:rowOff>
    </xdr:from>
    <xdr:to>
      <xdr:col>2</xdr:col>
      <xdr:colOff>585108</xdr:colOff>
      <xdr:row>22</xdr:row>
      <xdr:rowOff>13608</xdr:rowOff>
    </xdr:to>
    <xdr:sp macro="" textlink="">
      <xdr:nvSpPr>
        <xdr:cNvPr id="6" name="Flèche droite 5"/>
        <xdr:cNvSpPr/>
      </xdr:nvSpPr>
      <xdr:spPr>
        <a:xfrm flipH="1">
          <a:off x="966108" y="7130143"/>
          <a:ext cx="639536" cy="394608"/>
        </a:xfrm>
        <a:prstGeom prst="rightArrow">
          <a:avLst/>
        </a:prstGeom>
        <a:solidFill>
          <a:srgbClr val="0070C0"/>
        </a:solidFill>
        <a:ln>
          <a:solidFill>
            <a:schemeClr val="accent5">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editAs="oneCell">
    <xdr:from>
      <xdr:col>14</xdr:col>
      <xdr:colOff>176894</xdr:colOff>
      <xdr:row>20</xdr:row>
      <xdr:rowOff>81643</xdr:rowOff>
    </xdr:from>
    <xdr:to>
      <xdr:col>15</xdr:col>
      <xdr:colOff>673554</xdr:colOff>
      <xdr:row>24</xdr:row>
      <xdr:rowOff>102054</xdr:rowOff>
    </xdr:to>
    <xdr:pic>
      <xdr:nvPicPr>
        <xdr:cNvPr id="9" name="Image 8"/>
        <xdr:cNvPicPr>
          <a:picLocks noChangeAspect="1"/>
        </xdr:cNvPicPr>
      </xdr:nvPicPr>
      <xdr:blipFill>
        <a:blip xmlns:r="http://schemas.openxmlformats.org/officeDocument/2006/relationships" r:embed="rId9"/>
        <a:stretch>
          <a:fillRect/>
        </a:stretch>
      </xdr:blipFill>
      <xdr:spPr>
        <a:xfrm>
          <a:off x="10504715" y="7048500"/>
          <a:ext cx="1272268" cy="1272268"/>
        </a:xfrm>
        <a:prstGeom prst="rect">
          <a:avLst/>
        </a:prstGeom>
      </xdr:spPr>
    </xdr:pic>
    <xdr:clientData/>
  </xdr:twoCellAnchor>
  <xdr:twoCellAnchor>
    <xdr:from>
      <xdr:col>15</xdr:col>
      <xdr:colOff>166007</xdr:colOff>
      <xdr:row>22</xdr:row>
      <xdr:rowOff>166007</xdr:rowOff>
    </xdr:from>
    <xdr:to>
      <xdr:col>16</xdr:col>
      <xdr:colOff>29936</xdr:colOff>
      <xdr:row>23</xdr:row>
      <xdr:rowOff>206829</xdr:rowOff>
    </xdr:to>
    <xdr:sp macro="" textlink="">
      <xdr:nvSpPr>
        <xdr:cNvPr id="12" name="Flèche droite 11"/>
        <xdr:cNvSpPr/>
      </xdr:nvSpPr>
      <xdr:spPr>
        <a:xfrm>
          <a:off x="11269436" y="7677150"/>
          <a:ext cx="639536" cy="394608"/>
        </a:xfrm>
        <a:prstGeom prst="rightArrow">
          <a:avLst/>
        </a:prstGeom>
        <a:solidFill>
          <a:srgbClr val="0070C0"/>
        </a:solidFill>
        <a:ln>
          <a:solidFill>
            <a:schemeClr val="accent5">
              <a:lumMod val="40000"/>
              <a:lumOff val="6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fr-FR" sz="1100"/>
        </a:p>
      </xdr:txBody>
    </xdr:sp>
    <xdr:clientData/>
  </xdr:twoCellAnchor>
  <xdr:twoCellAnchor editAs="oneCell">
    <xdr:from>
      <xdr:col>13</xdr:col>
      <xdr:colOff>81646</xdr:colOff>
      <xdr:row>7</xdr:row>
      <xdr:rowOff>88448</xdr:rowOff>
    </xdr:from>
    <xdr:to>
      <xdr:col>14</xdr:col>
      <xdr:colOff>408214</xdr:colOff>
      <xdr:row>8</xdr:row>
      <xdr:rowOff>503464</xdr:rowOff>
    </xdr:to>
    <xdr:pic>
      <xdr:nvPicPr>
        <xdr:cNvPr id="13" name="Image 12"/>
        <xdr:cNvPicPr>
          <a:picLocks noChangeAspect="1"/>
        </xdr:cNvPicPr>
      </xdr:nvPicPr>
      <xdr:blipFill>
        <a:blip xmlns:r="http://schemas.openxmlformats.org/officeDocument/2006/relationships" r:embed="rId10"/>
        <a:stretch>
          <a:fillRect/>
        </a:stretch>
      </xdr:blipFill>
      <xdr:spPr>
        <a:xfrm>
          <a:off x="9633860" y="1911805"/>
          <a:ext cx="1102175" cy="972909"/>
        </a:xfrm>
        <a:prstGeom prst="rect">
          <a:avLst/>
        </a:prstGeom>
      </xdr:spPr>
    </xdr:pic>
    <xdr:clientData/>
  </xdr:twoCellAnchor>
  <xdr:twoCellAnchor editAs="oneCell">
    <xdr:from>
      <xdr:col>20</xdr:col>
      <xdr:colOff>460261</xdr:colOff>
      <xdr:row>0</xdr:row>
      <xdr:rowOff>68036</xdr:rowOff>
    </xdr:from>
    <xdr:to>
      <xdr:col>21</xdr:col>
      <xdr:colOff>710234</xdr:colOff>
      <xdr:row>4</xdr:row>
      <xdr:rowOff>49940</xdr:rowOff>
    </xdr:to>
    <xdr:pic>
      <xdr:nvPicPr>
        <xdr:cNvPr id="14" name="Image 13"/>
        <xdr:cNvPicPr>
          <a:picLocks noChangeAspect="1"/>
        </xdr:cNvPicPr>
      </xdr:nvPicPr>
      <xdr:blipFill rotWithShape="1">
        <a:blip xmlns:r="http://schemas.openxmlformats.org/officeDocument/2006/relationships" r:embed="rId5"/>
        <a:srcRect l="29297" t="13959" r="29688" b="21954"/>
        <a:stretch/>
      </xdr:blipFill>
      <xdr:spPr>
        <a:xfrm>
          <a:off x="15441725" y="68036"/>
          <a:ext cx="1025580" cy="1070475"/>
        </a:xfrm>
        <a:prstGeom prst="rect">
          <a:avLst/>
        </a:prstGeom>
      </xdr:spPr>
    </xdr:pic>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Q84"/>
  <sheetViews>
    <sheetView tabSelected="1" workbookViewId="0">
      <pane xSplit="9" ySplit="11" topLeftCell="J12" activePane="bottomRight" state="frozen"/>
      <selection pane="topRight" activeCell="K1" sqref="K1"/>
      <selection pane="bottomLeft" activeCell="A7" sqref="A7"/>
      <selection pane="bottomRight" activeCell="E2" sqref="E2:G6"/>
    </sheetView>
  </sheetViews>
  <sheetFormatPr baseColWidth="10" defaultRowHeight="15" x14ac:dyDescent="0.25"/>
  <cols>
    <col min="1" max="1" width="10.7109375" style="1" bestFit="1" customWidth="1"/>
    <col min="2" max="2" width="5" style="1" bestFit="1" customWidth="1"/>
    <col min="3" max="3" width="6" style="2" customWidth="1"/>
    <col min="4" max="4" width="11.85546875" style="2" customWidth="1"/>
    <col min="5" max="5" width="38" style="2" customWidth="1"/>
    <col min="6" max="6" width="14.7109375" style="2" customWidth="1"/>
    <col min="7" max="7" width="18.42578125" style="2" customWidth="1"/>
    <col min="8" max="8" width="7.7109375" style="1" customWidth="1"/>
    <col min="9" max="9" width="19.28515625" style="9" customWidth="1"/>
    <col min="10" max="10" width="13" style="9" customWidth="1"/>
    <col min="11" max="11" width="7.140625" style="87" customWidth="1"/>
    <col min="12" max="12" width="5.7109375" style="9" customWidth="1"/>
    <col min="13" max="13" width="15" style="2" customWidth="1"/>
    <col min="14" max="19" width="5.7109375" style="2" customWidth="1"/>
    <col min="20" max="22" width="14.7109375" style="2" customWidth="1"/>
    <col min="23" max="24" width="16" style="1" customWidth="1"/>
    <col min="25" max="25" width="14.7109375" style="1" customWidth="1"/>
    <col min="26" max="26" width="11.42578125" style="1"/>
    <col min="27" max="27" width="5.85546875" style="2" bestFit="1" customWidth="1"/>
    <col min="28" max="28" width="6" style="2" bestFit="1" customWidth="1"/>
    <col min="29" max="32" width="4.7109375" style="13" customWidth="1"/>
    <col min="33" max="33" width="14.28515625" style="13" customWidth="1"/>
    <col min="34" max="35" width="4.7109375" style="13" customWidth="1"/>
    <col min="36" max="36" width="15.5703125" style="13" customWidth="1"/>
    <col min="37" max="52" width="4.7109375" style="13" customWidth="1"/>
    <col min="53" max="147" width="11.42578125" style="13"/>
    <col min="148" max="16384" width="11.42578125" style="2"/>
  </cols>
  <sheetData>
    <row r="1" spans="1:147" ht="26.25" customHeight="1" x14ac:dyDescent="0.25">
      <c r="C1" s="264" t="s">
        <v>43</v>
      </c>
      <c r="D1" s="264"/>
      <c r="E1" s="264"/>
      <c r="F1" s="264"/>
      <c r="G1" s="264"/>
      <c r="H1" s="264"/>
      <c r="I1" s="264"/>
      <c r="J1" s="264"/>
      <c r="K1" s="264"/>
      <c r="L1" s="264"/>
      <c r="M1" s="264"/>
      <c r="N1" s="264"/>
      <c r="O1" s="264"/>
      <c r="P1" s="264"/>
      <c r="Q1" s="264"/>
      <c r="R1" s="264"/>
      <c r="S1" s="264"/>
      <c r="T1" s="264"/>
      <c r="U1" s="264"/>
      <c r="V1" s="264"/>
      <c r="W1" s="264"/>
      <c r="X1" s="60"/>
      <c r="Y1" s="126"/>
    </row>
    <row r="2" spans="1:147" ht="15.75" customHeight="1" x14ac:dyDescent="0.25">
      <c r="A2" s="300" t="s">
        <v>17</v>
      </c>
      <c r="B2" s="300"/>
      <c r="C2" s="300"/>
      <c r="D2" s="284"/>
      <c r="E2" s="267">
        <f>SUM(T12:T80)</f>
        <v>181100</v>
      </c>
      <c r="F2" s="268"/>
      <c r="G2" s="269"/>
      <c r="M2" s="5"/>
      <c r="N2" s="5"/>
      <c r="O2" s="5"/>
      <c r="P2" s="5"/>
      <c r="Q2" s="5"/>
      <c r="R2" s="5"/>
      <c r="S2" s="5"/>
      <c r="T2" s="3"/>
      <c r="U2" s="3"/>
      <c r="W2" s="263" t="s">
        <v>89</v>
      </c>
      <c r="X2" s="263" t="s">
        <v>123</v>
      </c>
      <c r="Y2" s="123"/>
      <c r="Z2" s="1" t="s">
        <v>100</v>
      </c>
      <c r="AB2" s="2">
        <f>MAX(A12:A131)</f>
        <v>44</v>
      </c>
    </row>
    <row r="3" spans="1:147" ht="15.75" x14ac:dyDescent="0.25">
      <c r="A3" s="281" t="s">
        <v>11</v>
      </c>
      <c r="B3" s="282"/>
      <c r="C3" s="274" t="s">
        <v>21</v>
      </c>
      <c r="D3" s="274"/>
      <c r="E3" s="29">
        <f>U36+U46+U47+U49</f>
        <v>4200</v>
      </c>
      <c r="F3" s="30"/>
      <c r="G3" s="31">
        <f>E3/$E$7</f>
        <v>2.6282853566958697E-2</v>
      </c>
      <c r="I3" s="34"/>
      <c r="J3" s="34"/>
      <c r="K3" s="88"/>
      <c r="L3" s="34"/>
      <c r="M3" s="5"/>
      <c r="N3" s="5"/>
      <c r="O3" s="5"/>
      <c r="P3" s="5"/>
      <c r="Q3" s="5"/>
      <c r="R3" s="5"/>
      <c r="S3" s="5"/>
      <c r="T3" s="3"/>
      <c r="U3" s="3"/>
      <c r="V3" s="10"/>
      <c r="W3" s="263"/>
      <c r="X3" s="263"/>
      <c r="Y3" s="123"/>
      <c r="Z3" s="1" t="s">
        <v>101</v>
      </c>
      <c r="AB3" s="2">
        <f>MAX(B12:B161)</f>
        <v>73</v>
      </c>
    </row>
    <row r="4" spans="1:147" ht="15.75" x14ac:dyDescent="0.25">
      <c r="A4" s="283"/>
      <c r="B4" s="284"/>
      <c r="C4" s="275" t="s">
        <v>42</v>
      </c>
      <c r="D4" s="276"/>
      <c r="E4" s="26">
        <f>U15+U19+U34+U37+U39+U41+U44+U43+U52+U68+U64+U67+U77+U81</f>
        <v>15600</v>
      </c>
      <c r="F4" s="27"/>
      <c r="G4" s="28">
        <f t="shared" ref="G4:G6" si="0">E4/$E$7</f>
        <v>9.7622027534418024E-2</v>
      </c>
      <c r="I4" s="35"/>
      <c r="J4" s="35"/>
      <c r="K4" s="89"/>
      <c r="L4" s="35"/>
      <c r="N4" s="233"/>
      <c r="T4" s="39">
        <f>T5/160000</f>
        <v>1.131875</v>
      </c>
      <c r="U4" s="4"/>
      <c r="V4" s="1" t="s">
        <v>22</v>
      </c>
      <c r="W4" s="263"/>
      <c r="X4" s="263"/>
      <c r="Y4" s="123"/>
    </row>
    <row r="5" spans="1:147" ht="15.75" x14ac:dyDescent="0.25">
      <c r="A5" s="283"/>
      <c r="B5" s="284"/>
      <c r="C5" s="278" t="s">
        <v>19</v>
      </c>
      <c r="D5" s="279"/>
      <c r="E5" s="25"/>
      <c r="F5" s="44"/>
      <c r="G5" s="19">
        <f t="shared" si="0"/>
        <v>0</v>
      </c>
      <c r="I5" s="36"/>
      <c r="J5" s="36"/>
      <c r="K5" s="90"/>
      <c r="L5" s="36"/>
      <c r="T5" s="20">
        <f>SUM(T12:T80)</f>
        <v>181100</v>
      </c>
      <c r="U5" s="20">
        <f>SUM(U12:U80)</f>
        <v>159200</v>
      </c>
      <c r="V5" s="23">
        <f>T5-U5</f>
        <v>21900</v>
      </c>
      <c r="W5" s="263"/>
      <c r="X5" s="263"/>
      <c r="Y5" s="123"/>
    </row>
    <row r="6" spans="1:147" ht="15.75" x14ac:dyDescent="0.25">
      <c r="A6" s="283"/>
      <c r="B6" s="284"/>
      <c r="C6" s="270" t="s">
        <v>20</v>
      </c>
      <c r="D6" s="270"/>
      <c r="E6" s="32">
        <f>U12+U14+U16+U17+U24+U23+U22+U29+U30+U31+U35+U38+U42+U45+U51+U54+U61+U57+U63+U79</f>
        <v>135000</v>
      </c>
      <c r="F6" s="44"/>
      <c r="G6" s="33">
        <f t="shared" si="0"/>
        <v>0.84480600750938672</v>
      </c>
      <c r="I6" s="37"/>
      <c r="J6" s="37"/>
      <c r="K6" s="73">
        <f>SUM(K12:K100)</f>
        <v>15</v>
      </c>
      <c r="L6" s="73">
        <f>SUM(L12:L234)</f>
        <v>0</v>
      </c>
      <c r="M6" s="38"/>
      <c r="N6" s="73">
        <f t="shared" ref="N6:S6" si="1">SUM(N12:N100)</f>
        <v>7</v>
      </c>
      <c r="O6" s="73">
        <f t="shared" si="1"/>
        <v>11</v>
      </c>
      <c r="P6" s="73">
        <f t="shared" si="1"/>
        <v>30</v>
      </c>
      <c r="Q6" s="73">
        <f t="shared" si="1"/>
        <v>54</v>
      </c>
      <c r="R6" s="73">
        <f t="shared" si="1"/>
        <v>6</v>
      </c>
      <c r="S6" s="73">
        <f t="shared" si="1"/>
        <v>7</v>
      </c>
      <c r="T6" s="22"/>
      <c r="U6" s="4"/>
      <c r="V6" s="24">
        <f>V5/E2</f>
        <v>0.12092766427388184</v>
      </c>
      <c r="W6" s="73">
        <f>AVERAGE(W12:W46)</f>
        <v>15.966666666666667</v>
      </c>
      <c r="X6" s="73">
        <f>AVERAGE(X12:X46)</f>
        <v>26.545454545454547</v>
      </c>
      <c r="Y6" s="73"/>
      <c r="AG6" s="13" t="s">
        <v>151</v>
      </c>
    </row>
    <row r="7" spans="1:147" ht="30" x14ac:dyDescent="0.25">
      <c r="A7" s="298"/>
      <c r="B7" s="299"/>
      <c r="C7" s="271" t="s">
        <v>18</v>
      </c>
      <c r="D7" s="271"/>
      <c r="E7" s="272">
        <f>E3+E4+E5+E6+U26</f>
        <v>159800</v>
      </c>
      <c r="F7" s="273"/>
      <c r="G7" s="18">
        <f>E7/E2</f>
        <v>0.88238542241855333</v>
      </c>
      <c r="I7" s="45"/>
      <c r="J7" s="45"/>
      <c r="K7" s="91"/>
      <c r="L7" s="45"/>
      <c r="M7" s="38"/>
      <c r="N7" s="77"/>
      <c r="O7" s="77"/>
      <c r="P7" s="77"/>
      <c r="Q7" s="77"/>
      <c r="R7" s="77"/>
      <c r="S7" s="77"/>
      <c r="T7" s="10"/>
      <c r="U7" s="4"/>
      <c r="W7" s="163">
        <f>MAX(W12:W46)</f>
        <v>37</v>
      </c>
      <c r="X7" s="163">
        <f>MAX(X12:X46)</f>
        <v>70</v>
      </c>
      <c r="AG7" s="13">
        <f>SUM(AG12:AG100)</f>
        <v>40</v>
      </c>
      <c r="AJ7" s="164" t="s">
        <v>213</v>
      </c>
    </row>
    <row r="8" spans="1:147" x14ac:dyDescent="0.25">
      <c r="A8" s="301"/>
      <c r="B8" s="301"/>
      <c r="C8" s="301"/>
      <c r="D8" s="301"/>
      <c r="I8" s="40"/>
      <c r="J8" s="40"/>
      <c r="K8" s="55"/>
      <c r="L8" s="40"/>
      <c r="M8" s="38"/>
      <c r="N8" s="38"/>
      <c r="O8" s="38"/>
      <c r="P8" s="38"/>
      <c r="Q8" s="38"/>
      <c r="R8" s="38"/>
      <c r="S8" s="38"/>
      <c r="W8" s="163">
        <f>MIN(W12:W46)</f>
        <v>1</v>
      </c>
      <c r="X8" s="163">
        <f>MIN(X12:X46)</f>
        <v>1</v>
      </c>
    </row>
    <row r="9" spans="1:147" s="7" customFormat="1" ht="23.25" customHeight="1" x14ac:dyDescent="0.25">
      <c r="A9" s="281" t="s">
        <v>0</v>
      </c>
      <c r="B9" s="282"/>
      <c r="C9" s="281" t="s">
        <v>1</v>
      </c>
      <c r="D9" s="282"/>
      <c r="E9" s="260" t="s">
        <v>3</v>
      </c>
      <c r="F9" s="260" t="s">
        <v>4</v>
      </c>
      <c r="G9" s="260" t="s">
        <v>5</v>
      </c>
      <c r="H9" s="260" t="s">
        <v>12</v>
      </c>
      <c r="I9" s="265" t="s">
        <v>13</v>
      </c>
      <c r="J9" s="286" t="s">
        <v>8</v>
      </c>
      <c r="K9" s="287"/>
      <c r="L9" s="287"/>
      <c r="M9" s="288"/>
      <c r="N9" s="292" t="s">
        <v>103</v>
      </c>
      <c r="O9" s="293"/>
      <c r="P9" s="292" t="s">
        <v>104</v>
      </c>
      <c r="Q9" s="293"/>
      <c r="R9" s="292" t="s">
        <v>105</v>
      </c>
      <c r="S9" s="293"/>
      <c r="T9" s="6" t="s">
        <v>6</v>
      </c>
      <c r="U9" s="277" t="s">
        <v>10</v>
      </c>
      <c r="V9" s="277"/>
      <c r="W9" s="285" t="s">
        <v>118</v>
      </c>
      <c r="X9" s="285" t="s">
        <v>212</v>
      </c>
      <c r="Y9" s="124"/>
      <c r="Z9" s="41" t="s">
        <v>16</v>
      </c>
      <c r="AA9" s="41"/>
      <c r="AB9" s="41"/>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4"/>
      <c r="CP9" s="14"/>
      <c r="CQ9" s="14"/>
      <c r="CR9" s="14"/>
      <c r="CS9" s="14"/>
      <c r="CT9" s="14"/>
      <c r="CU9" s="14"/>
      <c r="CV9" s="14"/>
      <c r="CW9" s="14"/>
      <c r="CX9" s="14"/>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4"/>
      <c r="EM9" s="14"/>
      <c r="EN9" s="14"/>
      <c r="EO9" s="14"/>
      <c r="EP9" s="14"/>
      <c r="EQ9" s="14"/>
    </row>
    <row r="10" spans="1:147" s="7" customFormat="1" ht="18" customHeight="1" x14ac:dyDescent="0.25">
      <c r="A10" s="283"/>
      <c r="B10" s="284"/>
      <c r="C10" s="283"/>
      <c r="D10" s="284"/>
      <c r="E10" s="261"/>
      <c r="F10" s="261"/>
      <c r="G10" s="261"/>
      <c r="H10" s="261"/>
      <c r="I10" s="266"/>
      <c r="J10" s="289"/>
      <c r="K10" s="290"/>
      <c r="L10" s="290"/>
      <c r="M10" s="291"/>
      <c r="N10" s="294"/>
      <c r="O10" s="295"/>
      <c r="P10" s="294"/>
      <c r="Q10" s="295"/>
      <c r="R10" s="294"/>
      <c r="S10" s="295"/>
      <c r="T10" s="6"/>
      <c r="U10" s="6"/>
      <c r="V10" s="6"/>
      <c r="W10" s="285"/>
      <c r="X10" s="285"/>
      <c r="Y10" s="124"/>
      <c r="Z10" s="280" t="s">
        <v>7</v>
      </c>
      <c r="AA10" s="280"/>
      <c r="AB10" s="280"/>
      <c r="AC10" s="15"/>
      <c r="AD10" s="14"/>
      <c r="AE10" s="14"/>
      <c r="AF10" s="14"/>
      <c r="AG10" s="14"/>
      <c r="AH10" s="14"/>
      <c r="AI10" s="14"/>
      <c r="AJ10" s="14"/>
      <c r="AK10" s="14"/>
      <c r="AL10" s="14"/>
      <c r="AM10" s="14"/>
      <c r="AN10" s="14"/>
      <c r="AO10" s="14"/>
      <c r="AP10" s="14"/>
      <c r="AQ10" s="14"/>
      <c r="AR10" s="14"/>
      <c r="AS10" s="14"/>
      <c r="AT10" s="14"/>
      <c r="AU10" s="14"/>
      <c r="AV10" s="14"/>
      <c r="AW10" s="14"/>
      <c r="AX10" s="14"/>
      <c r="AY10" s="14"/>
      <c r="AZ10" s="14"/>
      <c r="BA10" s="14"/>
      <c r="BB10" s="14"/>
      <c r="BC10" s="14"/>
      <c r="BD10" s="14"/>
      <c r="BE10" s="14"/>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c r="CL10" s="14"/>
      <c r="CM10" s="14"/>
      <c r="CN10" s="14"/>
      <c r="CO10" s="14"/>
      <c r="CP10" s="14"/>
      <c r="CQ10" s="14"/>
      <c r="CR10" s="14"/>
      <c r="CS10" s="14"/>
      <c r="CT10" s="14"/>
      <c r="CU10" s="14"/>
      <c r="CV10" s="14"/>
      <c r="CW10" s="14"/>
      <c r="CX10" s="14"/>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row>
    <row r="11" spans="1:147" s="8" customFormat="1" ht="21" customHeight="1" x14ac:dyDescent="0.25">
      <c r="A11" s="283"/>
      <c r="B11" s="284"/>
      <c r="C11" s="283"/>
      <c r="D11" s="284"/>
      <c r="E11" s="261"/>
      <c r="F11" s="261"/>
      <c r="G11" s="261"/>
      <c r="H11" s="261"/>
      <c r="I11" s="266"/>
      <c r="J11" s="93" t="s">
        <v>7</v>
      </c>
      <c r="K11" s="86" t="s">
        <v>116</v>
      </c>
      <c r="L11" s="86" t="s">
        <v>113</v>
      </c>
      <c r="M11" s="12" t="s">
        <v>14</v>
      </c>
      <c r="N11" s="296"/>
      <c r="O11" s="297"/>
      <c r="P11" s="296"/>
      <c r="Q11" s="297"/>
      <c r="R11" s="296"/>
      <c r="S11" s="297"/>
      <c r="T11" s="11" t="s">
        <v>9</v>
      </c>
      <c r="U11" s="11" t="s">
        <v>9</v>
      </c>
      <c r="V11" s="11" t="s">
        <v>7</v>
      </c>
      <c r="W11" s="286"/>
      <c r="X11" s="286"/>
      <c r="Y11" s="125"/>
      <c r="Z11" s="265"/>
      <c r="AA11" s="265"/>
      <c r="AB11" s="265"/>
      <c r="AC11" s="16"/>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c r="BU11" s="17"/>
      <c r="BV11" s="17"/>
      <c r="BW11" s="17"/>
      <c r="BX11" s="17"/>
      <c r="BY11" s="17"/>
      <c r="BZ11" s="17"/>
      <c r="CA11" s="17"/>
      <c r="CB11" s="17"/>
      <c r="CC11" s="17"/>
      <c r="CD11" s="17"/>
      <c r="CE11" s="17"/>
      <c r="CF11" s="17"/>
      <c r="CG11" s="17"/>
      <c r="CH11" s="17"/>
      <c r="CI11" s="17"/>
      <c r="CJ11" s="17"/>
      <c r="CK11" s="17"/>
      <c r="CL11" s="17"/>
      <c r="CM11" s="17"/>
      <c r="CN11" s="17"/>
      <c r="CO11" s="17"/>
      <c r="CP11" s="17"/>
      <c r="CQ11" s="17"/>
      <c r="CR11" s="17"/>
      <c r="CS11" s="17"/>
      <c r="CT11" s="17"/>
      <c r="CU11" s="17"/>
      <c r="CV11" s="17"/>
      <c r="CW11" s="17"/>
      <c r="CX11" s="17"/>
      <c r="CY11" s="17"/>
      <c r="CZ11" s="17"/>
      <c r="DA11" s="17"/>
      <c r="DB11" s="17"/>
      <c r="DC11" s="17"/>
      <c r="DD11" s="17"/>
      <c r="DE11" s="17"/>
      <c r="DF11" s="17"/>
      <c r="DG11" s="17"/>
      <c r="DH11" s="17"/>
      <c r="DI11" s="17"/>
      <c r="DJ11" s="17"/>
      <c r="DK11" s="17"/>
      <c r="DL11" s="17"/>
      <c r="DM11" s="17"/>
      <c r="DN11" s="17"/>
      <c r="DO11" s="17"/>
      <c r="DP11" s="17"/>
      <c r="DQ11" s="17"/>
      <c r="DR11" s="17"/>
      <c r="DS11" s="17"/>
      <c r="DT11" s="17"/>
      <c r="DU11" s="17"/>
      <c r="DV11" s="17"/>
      <c r="DW11" s="17"/>
      <c r="DX11" s="17"/>
      <c r="DY11" s="17"/>
      <c r="DZ11" s="17"/>
      <c r="EA11" s="17"/>
      <c r="EB11" s="17"/>
      <c r="EC11" s="17"/>
      <c r="ED11" s="17"/>
      <c r="EE11" s="17"/>
      <c r="EF11" s="17"/>
      <c r="EG11" s="17"/>
      <c r="EH11" s="17"/>
      <c r="EI11" s="17"/>
      <c r="EJ11" s="17"/>
      <c r="EK11" s="17"/>
      <c r="EL11" s="17"/>
      <c r="EM11" s="17"/>
      <c r="EN11" s="17"/>
      <c r="EO11" s="17"/>
      <c r="EP11" s="17"/>
      <c r="EQ11" s="17"/>
    </row>
    <row r="12" spans="1:147" s="51" customFormat="1" x14ac:dyDescent="0.25">
      <c r="A12" s="236">
        <v>1</v>
      </c>
      <c r="B12" s="46">
        <v>1</v>
      </c>
      <c r="C12" s="47" t="s">
        <v>2</v>
      </c>
      <c r="D12" s="120" t="s">
        <v>131</v>
      </c>
      <c r="E12" s="248" t="s">
        <v>41</v>
      </c>
      <c r="F12" s="48" t="s">
        <v>39</v>
      </c>
      <c r="G12" s="48" t="s">
        <v>56</v>
      </c>
      <c r="H12" s="46">
        <v>9</v>
      </c>
      <c r="I12" s="49" t="s">
        <v>15</v>
      </c>
      <c r="J12" s="105">
        <v>45663</v>
      </c>
      <c r="K12" s="46"/>
      <c r="L12" s="46"/>
      <c r="M12" s="48" t="s">
        <v>54</v>
      </c>
      <c r="N12" s="236"/>
      <c r="O12" s="46"/>
      <c r="P12" s="236">
        <v>1</v>
      </c>
      <c r="Q12" s="46">
        <v>1</v>
      </c>
      <c r="R12" s="236"/>
      <c r="S12" s="46"/>
      <c r="T12" s="50">
        <v>9500</v>
      </c>
      <c r="U12" s="50">
        <v>9500</v>
      </c>
      <c r="V12" s="52">
        <v>45665</v>
      </c>
      <c r="W12" s="161">
        <f>Z12-(MAX(V12,J12))</f>
        <v>13</v>
      </c>
      <c r="X12" s="236">
        <f>Z12-J12</f>
        <v>15</v>
      </c>
      <c r="Y12" s="46" t="str">
        <f>IF(W12&lt;21,"Dans les délais","Hors délais")</f>
        <v>Dans les délais</v>
      </c>
      <c r="Z12" s="159">
        <v>45678</v>
      </c>
      <c r="AA12" s="48"/>
      <c r="AB12" s="48"/>
      <c r="AG12" s="51">
        <f>IF(Y12="dans les délais",1,0)</f>
        <v>1</v>
      </c>
      <c r="AJ12" s="165">
        <f>V12-J12</f>
        <v>2</v>
      </c>
    </row>
    <row r="13" spans="1:147" s="51" customFormat="1" x14ac:dyDescent="0.25">
      <c r="A13" s="238"/>
      <c r="B13" s="46">
        <v>2</v>
      </c>
      <c r="C13" s="47" t="s">
        <v>2</v>
      </c>
      <c r="D13" s="120" t="s">
        <v>131</v>
      </c>
      <c r="E13" s="250"/>
      <c r="F13" s="48" t="s">
        <v>39</v>
      </c>
      <c r="G13" s="48" t="s">
        <v>57</v>
      </c>
      <c r="H13" s="46">
        <v>10</v>
      </c>
      <c r="I13" s="49" t="s">
        <v>15</v>
      </c>
      <c r="J13" s="105">
        <v>45663</v>
      </c>
      <c r="K13" s="46"/>
      <c r="L13" s="46"/>
      <c r="M13" s="48" t="s">
        <v>54</v>
      </c>
      <c r="N13" s="238"/>
      <c r="O13" s="46"/>
      <c r="P13" s="238"/>
      <c r="Q13" s="46">
        <v>1</v>
      </c>
      <c r="R13" s="238"/>
      <c r="S13" s="46"/>
      <c r="T13" s="50"/>
      <c r="U13" s="50"/>
      <c r="V13" s="52">
        <v>45665</v>
      </c>
      <c r="W13" s="161">
        <f t="shared" ref="W13:W48" si="2">Z13-(MAX(V13,J13))</f>
        <v>13</v>
      </c>
      <c r="X13" s="238"/>
      <c r="Y13" s="46" t="str">
        <f t="shared" ref="Y13:Y25" si="3">IF(W13&lt;30,"Dans les délais","Hors délais")</f>
        <v>Dans les délais</v>
      </c>
      <c r="Z13" s="159">
        <v>45678</v>
      </c>
      <c r="AA13" s="48"/>
      <c r="AB13" s="48"/>
      <c r="AG13" s="51">
        <f t="shared" ref="AG13:AG76" si="4">IF(Y13="dans les délais",1,0)</f>
        <v>1</v>
      </c>
      <c r="AJ13" s="165">
        <f t="shared" ref="AJ13:AJ46" si="5">V13-J13</f>
        <v>2</v>
      </c>
    </row>
    <row r="14" spans="1:147" s="155" customFormat="1" x14ac:dyDescent="0.25">
      <c r="A14" s="147">
        <v>2</v>
      </c>
      <c r="B14" s="147">
        <v>3</v>
      </c>
      <c r="C14" s="148" t="s">
        <v>2</v>
      </c>
      <c r="D14" s="149" t="s">
        <v>132</v>
      </c>
      <c r="E14" s="150" t="s">
        <v>44</v>
      </c>
      <c r="F14" s="150" t="s">
        <v>40</v>
      </c>
      <c r="G14" s="150" t="s">
        <v>55</v>
      </c>
      <c r="H14" s="147">
        <v>12</v>
      </c>
      <c r="I14" s="151" t="s">
        <v>15</v>
      </c>
      <c r="J14" s="152">
        <v>45666</v>
      </c>
      <c r="K14" s="147"/>
      <c r="L14" s="147"/>
      <c r="M14" s="150" t="s">
        <v>54</v>
      </c>
      <c r="N14" s="147"/>
      <c r="O14" s="147"/>
      <c r="P14" s="147">
        <v>1</v>
      </c>
      <c r="Q14" s="147">
        <v>1</v>
      </c>
      <c r="R14" s="147"/>
      <c r="S14" s="147"/>
      <c r="T14" s="153">
        <v>5000</v>
      </c>
      <c r="U14" s="153">
        <v>5000</v>
      </c>
      <c r="V14" s="154">
        <v>45673</v>
      </c>
      <c r="W14" s="162">
        <f t="shared" si="2"/>
        <v>5</v>
      </c>
      <c r="X14" s="147">
        <f t="shared" ref="X14:X48" si="6">Z14-J14</f>
        <v>12</v>
      </c>
      <c r="Y14" s="147" t="str">
        <f t="shared" si="3"/>
        <v>Dans les délais</v>
      </c>
      <c r="Z14" s="160">
        <v>45678</v>
      </c>
      <c r="AA14" s="150"/>
      <c r="AB14" s="150"/>
      <c r="AG14" s="155">
        <f t="shared" si="4"/>
        <v>1</v>
      </c>
      <c r="AJ14" s="166">
        <f t="shared" si="5"/>
        <v>7</v>
      </c>
    </row>
    <row r="15" spans="1:147" s="51" customFormat="1" x14ac:dyDescent="0.25">
      <c r="A15" s="46">
        <v>3</v>
      </c>
      <c r="B15" s="46">
        <v>4</v>
      </c>
      <c r="C15" s="47" t="s">
        <v>2</v>
      </c>
      <c r="D15" s="120" t="s">
        <v>133</v>
      </c>
      <c r="E15" s="48" t="s">
        <v>38</v>
      </c>
      <c r="F15" s="48" t="s">
        <v>37</v>
      </c>
      <c r="G15" s="48" t="s">
        <v>53</v>
      </c>
      <c r="H15" s="46">
        <v>7</v>
      </c>
      <c r="I15" s="49" t="s">
        <v>35</v>
      </c>
      <c r="J15" s="105">
        <v>45666</v>
      </c>
      <c r="K15" s="46"/>
      <c r="L15" s="46"/>
      <c r="M15" s="48" t="s">
        <v>54</v>
      </c>
      <c r="N15" s="46"/>
      <c r="O15" s="46"/>
      <c r="P15" s="46">
        <v>1</v>
      </c>
      <c r="Q15" s="46">
        <v>1</v>
      </c>
      <c r="R15" s="46"/>
      <c r="S15" s="46"/>
      <c r="T15" s="50">
        <v>600</v>
      </c>
      <c r="U15" s="50">
        <v>600</v>
      </c>
      <c r="V15" s="52">
        <v>45678</v>
      </c>
      <c r="W15" s="161">
        <f t="shared" si="2"/>
        <v>21</v>
      </c>
      <c r="X15" s="46">
        <f t="shared" si="6"/>
        <v>33</v>
      </c>
      <c r="Y15" s="46" t="str">
        <f>IF(W15&lt;15,"Dans les délais","Hors délais")</f>
        <v>Hors délais</v>
      </c>
      <c r="Z15" s="159">
        <v>45699</v>
      </c>
      <c r="AA15" s="48"/>
      <c r="AB15" s="48"/>
      <c r="AG15" s="51">
        <f t="shared" si="4"/>
        <v>0</v>
      </c>
      <c r="AJ15" s="165">
        <f t="shared" si="5"/>
        <v>12</v>
      </c>
    </row>
    <row r="16" spans="1:147" s="155" customFormat="1" x14ac:dyDescent="0.25">
      <c r="A16" s="147">
        <v>4</v>
      </c>
      <c r="B16" s="147">
        <v>5</v>
      </c>
      <c r="C16" s="148" t="s">
        <v>23</v>
      </c>
      <c r="D16" s="149" t="s">
        <v>131</v>
      </c>
      <c r="E16" s="150" t="s">
        <v>36</v>
      </c>
      <c r="F16" s="150" t="s">
        <v>45</v>
      </c>
      <c r="G16" s="150" t="s">
        <v>67</v>
      </c>
      <c r="H16" s="147">
        <v>6</v>
      </c>
      <c r="I16" s="151" t="s">
        <v>15</v>
      </c>
      <c r="J16" s="152">
        <v>45663</v>
      </c>
      <c r="K16" s="147"/>
      <c r="L16" s="147"/>
      <c r="M16" s="150" t="s">
        <v>54</v>
      </c>
      <c r="N16" s="147"/>
      <c r="O16" s="147"/>
      <c r="P16" s="147">
        <v>1</v>
      </c>
      <c r="Q16" s="147">
        <v>1</v>
      </c>
      <c r="R16" s="147"/>
      <c r="S16" s="147"/>
      <c r="T16" s="153">
        <v>5000</v>
      </c>
      <c r="U16" s="153">
        <v>5000</v>
      </c>
      <c r="V16" s="154">
        <v>45667</v>
      </c>
      <c r="W16" s="162">
        <f t="shared" si="2"/>
        <v>25</v>
      </c>
      <c r="X16" s="147">
        <f t="shared" si="6"/>
        <v>29</v>
      </c>
      <c r="Y16" s="147" t="str">
        <f t="shared" si="3"/>
        <v>Dans les délais</v>
      </c>
      <c r="Z16" s="160">
        <v>45692</v>
      </c>
      <c r="AA16" s="150"/>
      <c r="AB16" s="150"/>
      <c r="AG16" s="155">
        <f t="shared" si="4"/>
        <v>1</v>
      </c>
      <c r="AJ16" s="166">
        <f t="shared" si="5"/>
        <v>4</v>
      </c>
    </row>
    <row r="17" spans="1:147" s="51" customFormat="1" x14ac:dyDescent="0.25">
      <c r="A17" s="236">
        <v>5</v>
      </c>
      <c r="B17" s="46">
        <v>6</v>
      </c>
      <c r="C17" s="47" t="s">
        <v>2</v>
      </c>
      <c r="D17" s="120" t="s">
        <v>130</v>
      </c>
      <c r="E17" s="248" t="s">
        <v>46</v>
      </c>
      <c r="F17" s="48" t="s">
        <v>47</v>
      </c>
      <c r="G17" s="48" t="s">
        <v>48</v>
      </c>
      <c r="H17" s="46">
        <v>9</v>
      </c>
      <c r="I17" s="49" t="s">
        <v>15</v>
      </c>
      <c r="J17" s="105">
        <v>45672</v>
      </c>
      <c r="K17" s="46"/>
      <c r="L17" s="46"/>
      <c r="M17" s="48" t="s">
        <v>54</v>
      </c>
      <c r="N17" s="236"/>
      <c r="O17" s="46"/>
      <c r="P17" s="236">
        <v>1</v>
      </c>
      <c r="Q17" s="46">
        <v>1</v>
      </c>
      <c r="R17" s="236"/>
      <c r="S17" s="46"/>
      <c r="T17" s="50">
        <v>11300</v>
      </c>
      <c r="U17" s="50">
        <v>9500</v>
      </c>
      <c r="V17" s="52">
        <v>45691</v>
      </c>
      <c r="W17" s="161">
        <f t="shared" si="2"/>
        <v>37</v>
      </c>
      <c r="X17" s="236">
        <f t="shared" si="6"/>
        <v>56</v>
      </c>
      <c r="Y17" s="46" t="str">
        <f t="shared" si="3"/>
        <v>Hors délais</v>
      </c>
      <c r="Z17" s="159">
        <v>45728</v>
      </c>
      <c r="AA17" s="48"/>
      <c r="AB17" s="48"/>
      <c r="AG17" s="51">
        <f t="shared" si="4"/>
        <v>0</v>
      </c>
      <c r="AJ17" s="165">
        <f t="shared" si="5"/>
        <v>19</v>
      </c>
    </row>
    <row r="18" spans="1:147" s="51" customFormat="1" x14ac:dyDescent="0.25">
      <c r="A18" s="237"/>
      <c r="B18" s="46">
        <v>7</v>
      </c>
      <c r="C18" s="47" t="s">
        <v>2</v>
      </c>
      <c r="D18" s="120" t="s">
        <v>130</v>
      </c>
      <c r="E18" s="249"/>
      <c r="F18" s="48" t="s">
        <v>47</v>
      </c>
      <c r="G18" s="48" t="s">
        <v>49</v>
      </c>
      <c r="H18" s="46">
        <v>10</v>
      </c>
      <c r="I18" s="49" t="s">
        <v>15</v>
      </c>
      <c r="J18" s="105">
        <v>45672</v>
      </c>
      <c r="K18" s="46"/>
      <c r="L18" s="46"/>
      <c r="M18" s="48" t="s">
        <v>54</v>
      </c>
      <c r="N18" s="237"/>
      <c r="O18" s="46"/>
      <c r="P18" s="237"/>
      <c r="Q18" s="46">
        <v>1</v>
      </c>
      <c r="R18" s="237"/>
      <c r="S18" s="46"/>
      <c r="T18" s="50"/>
      <c r="U18" s="50"/>
      <c r="V18" s="52">
        <v>45691</v>
      </c>
      <c r="W18" s="161">
        <f t="shared" si="2"/>
        <v>24</v>
      </c>
      <c r="X18" s="237"/>
      <c r="Y18" s="46" t="str">
        <f t="shared" si="3"/>
        <v>Dans les délais</v>
      </c>
      <c r="Z18" s="159">
        <v>45715</v>
      </c>
      <c r="AA18" s="48"/>
      <c r="AB18" s="48"/>
      <c r="AG18" s="51">
        <f t="shared" si="4"/>
        <v>1</v>
      </c>
      <c r="AJ18" s="165">
        <f t="shared" si="5"/>
        <v>19</v>
      </c>
    </row>
    <row r="19" spans="1:147" s="51" customFormat="1" x14ac:dyDescent="0.25">
      <c r="A19" s="237"/>
      <c r="B19" s="46">
        <v>8</v>
      </c>
      <c r="C19" s="47" t="s">
        <v>2</v>
      </c>
      <c r="D19" s="120" t="s">
        <v>130</v>
      </c>
      <c r="E19" s="249"/>
      <c r="F19" s="48" t="s">
        <v>47</v>
      </c>
      <c r="G19" s="48" t="s">
        <v>50</v>
      </c>
      <c r="H19" s="46">
        <v>7</v>
      </c>
      <c r="I19" s="49" t="s">
        <v>35</v>
      </c>
      <c r="J19" s="105">
        <v>45672</v>
      </c>
      <c r="K19" s="46"/>
      <c r="L19" s="46"/>
      <c r="M19" s="48" t="s">
        <v>54</v>
      </c>
      <c r="N19" s="237"/>
      <c r="O19" s="46"/>
      <c r="P19" s="237"/>
      <c r="Q19" s="46">
        <v>1</v>
      </c>
      <c r="R19" s="237"/>
      <c r="S19" s="46"/>
      <c r="T19" s="50"/>
      <c r="U19" s="50">
        <v>1800</v>
      </c>
      <c r="V19" s="52">
        <v>45691</v>
      </c>
      <c r="W19" s="161">
        <f t="shared" si="2"/>
        <v>8</v>
      </c>
      <c r="X19" s="237"/>
      <c r="Y19" s="46" t="str">
        <f t="shared" si="3"/>
        <v>Dans les délais</v>
      </c>
      <c r="Z19" s="159">
        <v>45699</v>
      </c>
      <c r="AA19" s="48"/>
      <c r="AB19" s="48"/>
      <c r="AG19" s="51">
        <f t="shared" si="4"/>
        <v>1</v>
      </c>
      <c r="AJ19" s="165">
        <f t="shared" si="5"/>
        <v>19</v>
      </c>
    </row>
    <row r="20" spans="1:147" s="51" customFormat="1" x14ac:dyDescent="0.25">
      <c r="A20" s="237"/>
      <c r="B20" s="46">
        <v>9</v>
      </c>
      <c r="C20" s="47" t="s">
        <v>2</v>
      </c>
      <c r="D20" s="120" t="s">
        <v>130</v>
      </c>
      <c r="E20" s="249"/>
      <c r="F20" s="48" t="s">
        <v>47</v>
      </c>
      <c r="G20" s="48" t="s">
        <v>51</v>
      </c>
      <c r="H20" s="46">
        <v>8</v>
      </c>
      <c r="I20" s="49" t="s">
        <v>35</v>
      </c>
      <c r="J20" s="105">
        <v>45672</v>
      </c>
      <c r="K20" s="46"/>
      <c r="L20" s="46"/>
      <c r="M20" s="48" t="s">
        <v>54</v>
      </c>
      <c r="N20" s="237"/>
      <c r="O20" s="46"/>
      <c r="P20" s="237"/>
      <c r="Q20" s="46">
        <v>1</v>
      </c>
      <c r="R20" s="237"/>
      <c r="S20" s="46"/>
      <c r="T20" s="50"/>
      <c r="U20" s="50"/>
      <c r="V20" s="52">
        <v>45691</v>
      </c>
      <c r="W20" s="161">
        <f t="shared" si="2"/>
        <v>8</v>
      </c>
      <c r="X20" s="237"/>
      <c r="Y20" s="46" t="str">
        <f t="shared" si="3"/>
        <v>Dans les délais</v>
      </c>
      <c r="Z20" s="159">
        <v>45699</v>
      </c>
      <c r="AA20" s="48"/>
      <c r="AB20" s="48"/>
      <c r="AG20" s="51">
        <f t="shared" si="4"/>
        <v>1</v>
      </c>
      <c r="AJ20" s="165">
        <f t="shared" si="5"/>
        <v>19</v>
      </c>
    </row>
    <row r="21" spans="1:147" s="51" customFormat="1" x14ac:dyDescent="0.25">
      <c r="A21" s="238"/>
      <c r="B21" s="46">
        <v>10</v>
      </c>
      <c r="C21" s="47" t="s">
        <v>2</v>
      </c>
      <c r="D21" s="120" t="s">
        <v>130</v>
      </c>
      <c r="E21" s="250"/>
      <c r="F21" s="48" t="s">
        <v>47</v>
      </c>
      <c r="G21" s="48" t="s">
        <v>52</v>
      </c>
      <c r="H21" s="46">
        <v>10</v>
      </c>
      <c r="I21" s="49" t="s">
        <v>35</v>
      </c>
      <c r="J21" s="105">
        <v>45672</v>
      </c>
      <c r="K21" s="46"/>
      <c r="L21" s="46"/>
      <c r="M21" s="48" t="s">
        <v>54</v>
      </c>
      <c r="N21" s="237"/>
      <c r="O21" s="46"/>
      <c r="P21" s="237"/>
      <c r="Q21" s="46">
        <v>1</v>
      </c>
      <c r="R21" s="237"/>
      <c r="S21" s="46"/>
      <c r="T21" s="50"/>
      <c r="U21" s="50"/>
      <c r="V21" s="52">
        <v>45691</v>
      </c>
      <c r="W21" s="161">
        <f t="shared" si="2"/>
        <v>24</v>
      </c>
      <c r="X21" s="238"/>
      <c r="Y21" s="46" t="str">
        <f t="shared" si="3"/>
        <v>Dans les délais</v>
      </c>
      <c r="Z21" s="159">
        <v>45715</v>
      </c>
      <c r="AA21" s="48"/>
      <c r="AB21" s="48"/>
      <c r="AG21" s="51">
        <f t="shared" si="4"/>
        <v>1</v>
      </c>
      <c r="AJ21" s="165">
        <f t="shared" si="5"/>
        <v>19</v>
      </c>
    </row>
    <row r="22" spans="1:147" s="155" customFormat="1" x14ac:dyDescent="0.25">
      <c r="A22" s="147">
        <v>6</v>
      </c>
      <c r="B22" s="147">
        <v>11</v>
      </c>
      <c r="C22" s="148" t="s">
        <v>23</v>
      </c>
      <c r="D22" s="149" t="s">
        <v>134</v>
      </c>
      <c r="E22" s="150" t="s">
        <v>41</v>
      </c>
      <c r="F22" s="150" t="s">
        <v>39</v>
      </c>
      <c r="G22" s="150" t="s">
        <v>58</v>
      </c>
      <c r="H22" s="147">
        <v>6</v>
      </c>
      <c r="I22" s="151" t="s">
        <v>15</v>
      </c>
      <c r="J22" s="152">
        <v>45687</v>
      </c>
      <c r="K22" s="147"/>
      <c r="L22" s="147"/>
      <c r="M22" s="150" t="s">
        <v>54</v>
      </c>
      <c r="N22" s="147"/>
      <c r="O22" s="147"/>
      <c r="P22" s="147">
        <v>1</v>
      </c>
      <c r="Q22" s="147">
        <v>1</v>
      </c>
      <c r="R22" s="147"/>
      <c r="S22" s="147"/>
      <c r="T22" s="153">
        <v>5000</v>
      </c>
      <c r="U22" s="153">
        <v>5000</v>
      </c>
      <c r="V22" s="154">
        <v>45709</v>
      </c>
      <c r="W22" s="162">
        <f t="shared" si="2"/>
        <v>6</v>
      </c>
      <c r="X22" s="147">
        <f t="shared" si="6"/>
        <v>28</v>
      </c>
      <c r="Y22" s="147" t="str">
        <f t="shared" si="3"/>
        <v>Dans les délais</v>
      </c>
      <c r="Z22" s="160">
        <v>45715</v>
      </c>
      <c r="AA22" s="150"/>
      <c r="AB22" s="150"/>
      <c r="AG22" s="155">
        <f t="shared" si="4"/>
        <v>1</v>
      </c>
      <c r="AJ22" s="166">
        <f t="shared" si="5"/>
        <v>22</v>
      </c>
    </row>
    <row r="23" spans="1:147" s="51" customFormat="1" x14ac:dyDescent="0.25">
      <c r="A23" s="46">
        <v>7</v>
      </c>
      <c r="B23" s="46">
        <v>12</v>
      </c>
      <c r="C23" s="47" t="s">
        <v>23</v>
      </c>
      <c r="D23" s="120" t="s">
        <v>135</v>
      </c>
      <c r="E23" s="48" t="s">
        <v>59</v>
      </c>
      <c r="F23" s="48" t="s">
        <v>60</v>
      </c>
      <c r="G23" s="48" t="s">
        <v>61</v>
      </c>
      <c r="H23" s="46">
        <v>6</v>
      </c>
      <c r="I23" s="49" t="s">
        <v>15</v>
      </c>
      <c r="J23" s="105">
        <v>45692</v>
      </c>
      <c r="K23" s="46"/>
      <c r="L23" s="46"/>
      <c r="M23" s="48" t="s">
        <v>54</v>
      </c>
      <c r="N23" s="46"/>
      <c r="O23" s="46"/>
      <c r="P23" s="46">
        <v>1</v>
      </c>
      <c r="Q23" s="46">
        <v>1</v>
      </c>
      <c r="R23" s="46"/>
      <c r="S23" s="46"/>
      <c r="T23" s="50">
        <v>4000</v>
      </c>
      <c r="U23" s="50">
        <v>4000</v>
      </c>
      <c r="V23" s="52">
        <v>45701</v>
      </c>
      <c r="W23" s="161">
        <f t="shared" si="2"/>
        <v>36</v>
      </c>
      <c r="X23" s="46">
        <f t="shared" si="6"/>
        <v>45</v>
      </c>
      <c r="Y23" s="46" t="str">
        <f t="shared" si="3"/>
        <v>Hors délais</v>
      </c>
      <c r="Z23" s="159">
        <v>45737</v>
      </c>
      <c r="AA23" s="48"/>
      <c r="AB23" s="48"/>
      <c r="AG23" s="51">
        <f t="shared" si="4"/>
        <v>0</v>
      </c>
      <c r="AJ23" s="165">
        <f t="shared" si="5"/>
        <v>9</v>
      </c>
    </row>
    <row r="24" spans="1:147" s="155" customFormat="1" x14ac:dyDescent="0.25">
      <c r="A24" s="242">
        <v>8</v>
      </c>
      <c r="B24" s="147">
        <v>13</v>
      </c>
      <c r="C24" s="148" t="s">
        <v>2</v>
      </c>
      <c r="D24" s="149" t="s">
        <v>136</v>
      </c>
      <c r="E24" s="245" t="s">
        <v>40</v>
      </c>
      <c r="F24" s="150" t="s">
        <v>40</v>
      </c>
      <c r="G24" s="150" t="s">
        <v>142</v>
      </c>
      <c r="H24" s="147">
        <v>8</v>
      </c>
      <c r="I24" s="151" t="s">
        <v>15</v>
      </c>
      <c r="J24" s="152">
        <v>45687</v>
      </c>
      <c r="K24" s="147"/>
      <c r="L24" s="147"/>
      <c r="M24" s="150" t="s">
        <v>54</v>
      </c>
      <c r="N24" s="242"/>
      <c r="O24" s="147"/>
      <c r="P24" s="242">
        <v>1</v>
      </c>
      <c r="Q24" s="147">
        <v>1</v>
      </c>
      <c r="R24" s="242"/>
      <c r="S24" s="147"/>
      <c r="T24" s="153">
        <v>9500</v>
      </c>
      <c r="U24" s="153">
        <v>9500</v>
      </c>
      <c r="V24" s="154">
        <v>45695</v>
      </c>
      <c r="W24" s="162">
        <f t="shared" si="2"/>
        <v>27</v>
      </c>
      <c r="X24" s="242">
        <f>Z25-J25</f>
        <v>40</v>
      </c>
      <c r="Y24" s="147" t="str">
        <f t="shared" si="3"/>
        <v>Dans les délais</v>
      </c>
      <c r="Z24" s="160">
        <v>45722</v>
      </c>
      <c r="AA24" s="150"/>
      <c r="AB24" s="150"/>
      <c r="AG24" s="155">
        <f t="shared" si="4"/>
        <v>1</v>
      </c>
      <c r="AJ24" s="166">
        <f t="shared" si="5"/>
        <v>8</v>
      </c>
    </row>
    <row r="25" spans="1:147" s="155" customFormat="1" x14ac:dyDescent="0.25">
      <c r="A25" s="244"/>
      <c r="B25" s="147">
        <v>14</v>
      </c>
      <c r="C25" s="148" t="s">
        <v>2</v>
      </c>
      <c r="D25" s="149" t="s">
        <v>136</v>
      </c>
      <c r="E25" s="247"/>
      <c r="F25" s="150" t="s">
        <v>40</v>
      </c>
      <c r="G25" s="150" t="s">
        <v>143</v>
      </c>
      <c r="H25" s="147">
        <v>9</v>
      </c>
      <c r="I25" s="151" t="s">
        <v>15</v>
      </c>
      <c r="J25" s="152">
        <v>45687</v>
      </c>
      <c r="K25" s="147"/>
      <c r="L25" s="147"/>
      <c r="M25" s="150" t="s">
        <v>54</v>
      </c>
      <c r="N25" s="244"/>
      <c r="O25" s="147"/>
      <c r="P25" s="244"/>
      <c r="Q25" s="147">
        <v>1</v>
      </c>
      <c r="R25" s="244"/>
      <c r="S25" s="147"/>
      <c r="T25" s="153"/>
      <c r="U25" s="153"/>
      <c r="V25" s="154">
        <v>45695</v>
      </c>
      <c r="W25" s="162">
        <f t="shared" si="2"/>
        <v>32</v>
      </c>
      <c r="X25" s="244"/>
      <c r="Y25" s="147" t="str">
        <f t="shared" si="3"/>
        <v>Hors délais</v>
      </c>
      <c r="Z25" s="160">
        <v>45727</v>
      </c>
      <c r="AA25" s="150"/>
      <c r="AB25" s="150"/>
      <c r="AG25" s="155">
        <f t="shared" si="4"/>
        <v>0</v>
      </c>
      <c r="AJ25" s="166">
        <f t="shared" si="5"/>
        <v>8</v>
      </c>
    </row>
    <row r="26" spans="1:147" s="51" customFormat="1" x14ac:dyDescent="0.25">
      <c r="A26" s="46">
        <v>9</v>
      </c>
      <c r="B26" s="46">
        <v>15</v>
      </c>
      <c r="C26" s="47" t="s">
        <v>2</v>
      </c>
      <c r="D26" s="120" t="s">
        <v>137</v>
      </c>
      <c r="E26" s="48" t="s">
        <v>63</v>
      </c>
      <c r="F26" s="48" t="s">
        <v>64</v>
      </c>
      <c r="G26" s="48" t="s">
        <v>141</v>
      </c>
      <c r="H26" s="46">
        <v>12</v>
      </c>
      <c r="I26" s="49" t="s">
        <v>15</v>
      </c>
      <c r="J26" s="105">
        <v>45692</v>
      </c>
      <c r="K26" s="46"/>
      <c r="L26" s="46"/>
      <c r="M26" s="48" t="s">
        <v>54</v>
      </c>
      <c r="N26" s="46"/>
      <c r="O26" s="46"/>
      <c r="P26" s="46">
        <v>1</v>
      </c>
      <c r="Q26" s="46">
        <v>1</v>
      </c>
      <c r="R26" s="46"/>
      <c r="S26" s="46"/>
      <c r="T26" s="50">
        <v>5000</v>
      </c>
      <c r="U26" s="50">
        <v>5000</v>
      </c>
      <c r="V26" s="52">
        <v>45698</v>
      </c>
      <c r="W26" s="161">
        <f t="shared" si="2"/>
        <v>10</v>
      </c>
      <c r="X26" s="46">
        <f t="shared" si="6"/>
        <v>16</v>
      </c>
      <c r="Y26" s="46" t="str">
        <f t="shared" ref="Y26" si="7">IF(W26&lt;30,"Dans les délais","Hors délais")</f>
        <v>Dans les délais</v>
      </c>
      <c r="Z26" s="159">
        <v>45708</v>
      </c>
      <c r="AA26" s="48"/>
      <c r="AB26" s="48"/>
      <c r="AG26" s="51">
        <f t="shared" si="4"/>
        <v>1</v>
      </c>
      <c r="AJ26" s="165">
        <f t="shared" si="5"/>
        <v>6</v>
      </c>
    </row>
    <row r="27" spans="1:147" s="188" customFormat="1" x14ac:dyDescent="0.25">
      <c r="A27" s="181">
        <v>10</v>
      </c>
      <c r="B27" s="181">
        <v>16</v>
      </c>
      <c r="C27" s="182" t="s">
        <v>2</v>
      </c>
      <c r="D27" s="183" t="s">
        <v>138</v>
      </c>
      <c r="E27" s="184" t="s">
        <v>65</v>
      </c>
      <c r="F27" s="184" t="s">
        <v>66</v>
      </c>
      <c r="G27" s="184" t="s">
        <v>236</v>
      </c>
      <c r="H27" s="181">
        <v>12</v>
      </c>
      <c r="I27" s="185" t="s">
        <v>15</v>
      </c>
      <c r="J27" s="186">
        <v>45701</v>
      </c>
      <c r="K27" s="181"/>
      <c r="L27" s="181"/>
      <c r="M27" s="184" t="s">
        <v>237</v>
      </c>
      <c r="N27" s="181"/>
      <c r="O27" s="181"/>
      <c r="P27" s="181">
        <v>1</v>
      </c>
      <c r="Q27" s="181">
        <v>1</v>
      </c>
      <c r="R27" s="181"/>
      <c r="S27" s="181"/>
      <c r="T27" s="187">
        <v>5000</v>
      </c>
      <c r="U27" s="187">
        <v>0</v>
      </c>
      <c r="V27" s="190"/>
      <c r="W27" s="191"/>
      <c r="X27" s="191"/>
      <c r="Y27" s="192"/>
      <c r="Z27" s="192"/>
      <c r="AA27" s="190"/>
      <c r="AB27" s="190"/>
      <c r="AG27" s="188">
        <f t="shared" si="4"/>
        <v>0</v>
      </c>
      <c r="AJ27" s="189"/>
    </row>
    <row r="28" spans="1:147" s="177" customFormat="1" x14ac:dyDescent="0.25">
      <c r="A28" s="168">
        <v>11</v>
      </c>
      <c r="B28" s="168">
        <v>17</v>
      </c>
      <c r="C28" s="169" t="s">
        <v>23</v>
      </c>
      <c r="D28" s="170" t="s">
        <v>139</v>
      </c>
      <c r="E28" s="171" t="s">
        <v>65</v>
      </c>
      <c r="F28" s="171" t="s">
        <v>66</v>
      </c>
      <c r="G28" s="171"/>
      <c r="H28" s="168"/>
      <c r="I28" s="172" t="s">
        <v>15</v>
      </c>
      <c r="J28" s="173">
        <v>45701</v>
      </c>
      <c r="K28" s="168">
        <v>1</v>
      </c>
      <c r="L28" s="168"/>
      <c r="M28" s="171" t="s">
        <v>62</v>
      </c>
      <c r="N28" s="168"/>
      <c r="O28" s="168"/>
      <c r="P28" s="168"/>
      <c r="Q28" s="168"/>
      <c r="R28" s="168">
        <v>1</v>
      </c>
      <c r="S28" s="168">
        <v>1</v>
      </c>
      <c r="T28" s="174">
        <v>5000</v>
      </c>
      <c r="U28" s="174"/>
      <c r="V28" s="171"/>
      <c r="W28" s="175"/>
      <c r="X28" s="175"/>
      <c r="Y28" s="168"/>
      <c r="Z28" s="168"/>
      <c r="AA28" s="171"/>
      <c r="AB28" s="171"/>
      <c r="AC28" s="176"/>
      <c r="AD28" s="176"/>
      <c r="AE28" s="176"/>
      <c r="AF28" s="176"/>
      <c r="AG28" s="178">
        <f t="shared" si="4"/>
        <v>0</v>
      </c>
      <c r="AH28" s="176"/>
      <c r="AI28" s="176"/>
      <c r="AJ28" s="179"/>
      <c r="AK28" s="176"/>
      <c r="AL28" s="176"/>
      <c r="AM28" s="176"/>
      <c r="AN28" s="176"/>
      <c r="AO28" s="176"/>
      <c r="AP28" s="176"/>
      <c r="AQ28" s="176"/>
      <c r="AR28" s="176"/>
      <c r="AS28" s="176"/>
      <c r="AT28" s="176"/>
      <c r="AU28" s="176"/>
      <c r="AV28" s="176"/>
      <c r="AW28" s="176"/>
      <c r="AX28" s="176"/>
      <c r="AY28" s="176"/>
      <c r="AZ28" s="176"/>
      <c r="BA28" s="176"/>
      <c r="BB28" s="176"/>
      <c r="BC28" s="176"/>
      <c r="BD28" s="176"/>
      <c r="BE28" s="176"/>
      <c r="BF28" s="176"/>
      <c r="BG28" s="176"/>
      <c r="BH28" s="176"/>
      <c r="BI28" s="176"/>
      <c r="BJ28" s="176"/>
      <c r="BK28" s="176"/>
      <c r="BL28" s="176"/>
      <c r="BM28" s="176"/>
      <c r="BN28" s="176"/>
      <c r="BO28" s="176"/>
      <c r="BP28" s="176"/>
      <c r="BQ28" s="176"/>
      <c r="BR28" s="176"/>
      <c r="BS28" s="176"/>
      <c r="BT28" s="176"/>
      <c r="BU28" s="176"/>
      <c r="BV28" s="176"/>
      <c r="BW28" s="176"/>
      <c r="BX28" s="176"/>
      <c r="BY28" s="176"/>
      <c r="BZ28" s="176"/>
      <c r="CA28" s="176"/>
      <c r="CB28" s="176"/>
      <c r="CC28" s="176"/>
      <c r="CD28" s="176"/>
      <c r="CE28" s="176"/>
      <c r="CF28" s="176"/>
      <c r="CG28" s="176"/>
      <c r="CH28" s="176"/>
      <c r="CI28" s="176"/>
      <c r="CJ28" s="176"/>
      <c r="CK28" s="176"/>
      <c r="CL28" s="176"/>
      <c r="CM28" s="176"/>
      <c r="CN28" s="176"/>
      <c r="CO28" s="176"/>
      <c r="CP28" s="176"/>
      <c r="CQ28" s="176"/>
      <c r="CR28" s="176"/>
      <c r="CS28" s="176"/>
      <c r="CT28" s="176"/>
      <c r="CU28" s="176"/>
      <c r="CV28" s="176"/>
      <c r="CW28" s="176"/>
      <c r="CX28" s="176"/>
      <c r="CY28" s="176"/>
      <c r="CZ28" s="176"/>
      <c r="DA28" s="176"/>
      <c r="DB28" s="176"/>
      <c r="DC28" s="176"/>
      <c r="DD28" s="176"/>
      <c r="DE28" s="176"/>
      <c r="DF28" s="176"/>
      <c r="DG28" s="176"/>
      <c r="DH28" s="176"/>
      <c r="DI28" s="176"/>
      <c r="DJ28" s="176"/>
      <c r="DK28" s="176"/>
      <c r="DL28" s="176"/>
      <c r="DM28" s="176"/>
      <c r="DN28" s="176"/>
      <c r="DO28" s="176"/>
      <c r="DP28" s="176"/>
      <c r="DQ28" s="176"/>
      <c r="DR28" s="176"/>
      <c r="DS28" s="176"/>
      <c r="DT28" s="176"/>
      <c r="DU28" s="176"/>
      <c r="DV28" s="176"/>
      <c r="DW28" s="176"/>
      <c r="DX28" s="176"/>
      <c r="DY28" s="176"/>
      <c r="DZ28" s="176"/>
      <c r="EA28" s="176"/>
      <c r="EB28" s="176"/>
      <c r="EC28" s="176"/>
      <c r="ED28" s="176"/>
      <c r="EE28" s="176"/>
      <c r="EF28" s="176"/>
      <c r="EG28" s="176"/>
      <c r="EH28" s="176"/>
      <c r="EI28" s="176"/>
      <c r="EJ28" s="176"/>
      <c r="EK28" s="176"/>
      <c r="EL28" s="176"/>
      <c r="EM28" s="176"/>
      <c r="EN28" s="176"/>
      <c r="EO28" s="176"/>
      <c r="EP28" s="176"/>
      <c r="EQ28" s="176"/>
    </row>
    <row r="29" spans="1:147" s="155" customFormat="1" x14ac:dyDescent="0.25">
      <c r="A29" s="147">
        <v>12</v>
      </c>
      <c r="B29" s="147">
        <v>18</v>
      </c>
      <c r="C29" s="148" t="s">
        <v>2</v>
      </c>
      <c r="D29" s="149" t="s">
        <v>140</v>
      </c>
      <c r="E29" s="150" t="s">
        <v>36</v>
      </c>
      <c r="F29" s="150" t="s">
        <v>68</v>
      </c>
      <c r="G29" s="150" t="s">
        <v>172</v>
      </c>
      <c r="H29" s="147">
        <v>11</v>
      </c>
      <c r="I29" s="151" t="s">
        <v>15</v>
      </c>
      <c r="J29" s="152">
        <v>45702</v>
      </c>
      <c r="K29" s="147"/>
      <c r="L29" s="147"/>
      <c r="M29" s="150" t="s">
        <v>54</v>
      </c>
      <c r="N29" s="147"/>
      <c r="O29" s="147"/>
      <c r="P29" s="147">
        <v>1</v>
      </c>
      <c r="Q29" s="147">
        <v>1</v>
      </c>
      <c r="R29" s="147"/>
      <c r="S29" s="147"/>
      <c r="T29" s="153">
        <v>5000</v>
      </c>
      <c r="U29" s="153">
        <v>5000</v>
      </c>
      <c r="V29" s="154">
        <v>45728</v>
      </c>
      <c r="W29" s="162">
        <f t="shared" si="2"/>
        <v>21</v>
      </c>
      <c r="X29" s="147">
        <f t="shared" si="6"/>
        <v>47</v>
      </c>
      <c r="Y29" s="147" t="str">
        <f t="shared" ref="Y29:Y32" si="8">IF(W29&lt;30,"Dans les délais","Hors délais")</f>
        <v>Dans les délais</v>
      </c>
      <c r="Z29" s="160">
        <v>45749</v>
      </c>
      <c r="AA29" s="150"/>
      <c r="AB29" s="150"/>
      <c r="AG29" s="155">
        <f t="shared" si="4"/>
        <v>1</v>
      </c>
      <c r="AJ29" s="166">
        <f t="shared" si="5"/>
        <v>26</v>
      </c>
    </row>
    <row r="30" spans="1:147" s="51" customFormat="1" x14ac:dyDescent="0.25">
      <c r="A30" s="46">
        <v>13</v>
      </c>
      <c r="B30" s="46">
        <v>19</v>
      </c>
      <c r="C30" s="47" t="s">
        <v>23</v>
      </c>
      <c r="D30" s="120" t="s">
        <v>171</v>
      </c>
      <c r="E30" s="48" t="s">
        <v>59</v>
      </c>
      <c r="F30" s="48" t="s">
        <v>60</v>
      </c>
      <c r="G30" s="48" t="s">
        <v>173</v>
      </c>
      <c r="H30" s="46">
        <v>6</v>
      </c>
      <c r="I30" s="49" t="s">
        <v>15</v>
      </c>
      <c r="J30" s="105">
        <v>45723</v>
      </c>
      <c r="K30" s="46"/>
      <c r="L30" s="46"/>
      <c r="M30" s="48" t="s">
        <v>54</v>
      </c>
      <c r="N30" s="46"/>
      <c r="O30" s="46"/>
      <c r="P30" s="46">
        <v>1</v>
      </c>
      <c r="Q30" s="46">
        <v>1</v>
      </c>
      <c r="R30" s="46"/>
      <c r="S30" s="46"/>
      <c r="T30" s="50">
        <v>4000</v>
      </c>
      <c r="U30" s="50">
        <v>4000</v>
      </c>
      <c r="V30" s="52">
        <v>45734</v>
      </c>
      <c r="W30" s="161">
        <f t="shared" si="2"/>
        <v>21</v>
      </c>
      <c r="X30" s="46">
        <f t="shared" si="6"/>
        <v>32</v>
      </c>
      <c r="Y30" s="46" t="str">
        <f t="shared" si="8"/>
        <v>Dans les délais</v>
      </c>
      <c r="Z30" s="159">
        <v>45755</v>
      </c>
      <c r="AA30" s="48"/>
      <c r="AB30" s="48"/>
      <c r="AG30" s="51">
        <f t="shared" si="4"/>
        <v>1</v>
      </c>
      <c r="AJ30" s="165">
        <f t="shared" si="5"/>
        <v>11</v>
      </c>
    </row>
    <row r="31" spans="1:147" s="155" customFormat="1" x14ac:dyDescent="0.25">
      <c r="A31" s="242">
        <v>14</v>
      </c>
      <c r="B31" s="147">
        <v>20</v>
      </c>
      <c r="C31" s="148" t="s">
        <v>2</v>
      </c>
      <c r="D31" s="149" t="s">
        <v>174</v>
      </c>
      <c r="E31" s="245" t="s">
        <v>63</v>
      </c>
      <c r="F31" s="150" t="s">
        <v>64</v>
      </c>
      <c r="G31" s="150" t="s">
        <v>180</v>
      </c>
      <c r="H31" s="147">
        <v>6</v>
      </c>
      <c r="I31" s="151" t="s">
        <v>15</v>
      </c>
      <c r="J31" s="152">
        <v>45750</v>
      </c>
      <c r="K31" s="147"/>
      <c r="L31" s="147"/>
      <c r="M31" s="150" t="s">
        <v>54</v>
      </c>
      <c r="N31" s="242"/>
      <c r="O31" s="147"/>
      <c r="P31" s="242">
        <v>1</v>
      </c>
      <c r="Q31" s="147">
        <v>1</v>
      </c>
      <c r="R31" s="242"/>
      <c r="S31" s="147"/>
      <c r="T31" s="153">
        <v>9500</v>
      </c>
      <c r="U31" s="153">
        <v>9500</v>
      </c>
      <c r="V31" s="154">
        <v>45757</v>
      </c>
      <c r="W31" s="162">
        <f t="shared" si="2"/>
        <v>14</v>
      </c>
      <c r="X31" s="242">
        <f t="shared" si="6"/>
        <v>21</v>
      </c>
      <c r="Y31" s="147" t="str">
        <f t="shared" si="8"/>
        <v>Dans les délais</v>
      </c>
      <c r="Z31" s="160">
        <v>45771</v>
      </c>
      <c r="AA31" s="150"/>
      <c r="AB31" s="150"/>
      <c r="AG31" s="155">
        <f t="shared" si="4"/>
        <v>1</v>
      </c>
      <c r="AJ31" s="166">
        <f t="shared" si="5"/>
        <v>7</v>
      </c>
    </row>
    <row r="32" spans="1:147" s="155" customFormat="1" x14ac:dyDescent="0.25">
      <c r="A32" s="243"/>
      <c r="B32" s="147">
        <v>21</v>
      </c>
      <c r="C32" s="148" t="s">
        <v>2</v>
      </c>
      <c r="D32" s="149" t="s">
        <v>174</v>
      </c>
      <c r="E32" s="246"/>
      <c r="F32" s="150" t="s">
        <v>64</v>
      </c>
      <c r="G32" s="150" t="s">
        <v>179</v>
      </c>
      <c r="H32" s="147">
        <v>7</v>
      </c>
      <c r="I32" s="151" t="s">
        <v>15</v>
      </c>
      <c r="J32" s="152">
        <v>45750</v>
      </c>
      <c r="K32" s="147"/>
      <c r="L32" s="147"/>
      <c r="M32" s="150" t="s">
        <v>54</v>
      </c>
      <c r="N32" s="243"/>
      <c r="O32" s="147"/>
      <c r="P32" s="243"/>
      <c r="Q32" s="147">
        <v>1</v>
      </c>
      <c r="R32" s="243"/>
      <c r="S32" s="147"/>
      <c r="T32" s="153"/>
      <c r="U32" s="153"/>
      <c r="V32" s="154">
        <v>45757</v>
      </c>
      <c r="W32" s="162">
        <f t="shared" si="2"/>
        <v>13</v>
      </c>
      <c r="X32" s="243"/>
      <c r="Y32" s="147" t="str">
        <f t="shared" si="8"/>
        <v>Dans les délais</v>
      </c>
      <c r="Z32" s="160">
        <v>45770</v>
      </c>
      <c r="AA32" s="150"/>
      <c r="AB32" s="150"/>
      <c r="AG32" s="155">
        <f t="shared" si="4"/>
        <v>1</v>
      </c>
      <c r="AJ32" s="166">
        <f t="shared" si="5"/>
        <v>7</v>
      </c>
    </row>
    <row r="33" spans="1:36" s="155" customFormat="1" x14ac:dyDescent="0.25">
      <c r="A33" s="244"/>
      <c r="B33" s="147">
        <v>22</v>
      </c>
      <c r="C33" s="148" t="s">
        <v>2</v>
      </c>
      <c r="D33" s="149" t="s">
        <v>174</v>
      </c>
      <c r="E33" s="247"/>
      <c r="F33" s="150" t="s">
        <v>64</v>
      </c>
      <c r="G33" s="150" t="s">
        <v>186</v>
      </c>
      <c r="H33" s="147">
        <v>8</v>
      </c>
      <c r="I33" s="151" t="s">
        <v>35</v>
      </c>
      <c r="J33" s="152">
        <v>45750</v>
      </c>
      <c r="K33" s="147"/>
      <c r="L33" s="147"/>
      <c r="M33" s="150" t="s">
        <v>54</v>
      </c>
      <c r="N33" s="244"/>
      <c r="O33" s="147"/>
      <c r="P33" s="244"/>
      <c r="Q33" s="147">
        <v>1</v>
      </c>
      <c r="R33" s="244"/>
      <c r="S33" s="147"/>
      <c r="T33" s="153"/>
      <c r="U33" s="153"/>
      <c r="V33" s="154">
        <v>45757</v>
      </c>
      <c r="W33" s="162">
        <f t="shared" si="2"/>
        <v>11</v>
      </c>
      <c r="X33" s="244"/>
      <c r="Y33" s="147" t="str">
        <f t="shared" ref="Y33:Y34" si="9">IF(W33&lt;30,"Dans les délais","Hors délais")</f>
        <v>Dans les délais</v>
      </c>
      <c r="Z33" s="160">
        <v>45768</v>
      </c>
      <c r="AA33" s="150"/>
      <c r="AB33" s="150"/>
      <c r="AG33" s="155">
        <f t="shared" si="4"/>
        <v>1</v>
      </c>
      <c r="AJ33" s="166">
        <f t="shared" si="5"/>
        <v>7</v>
      </c>
    </row>
    <row r="34" spans="1:36" s="51" customFormat="1" x14ac:dyDescent="0.25">
      <c r="A34" s="46">
        <v>15</v>
      </c>
      <c r="B34" s="46">
        <v>23</v>
      </c>
      <c r="C34" s="47" t="s">
        <v>2</v>
      </c>
      <c r="D34" s="120" t="s">
        <v>175</v>
      </c>
      <c r="E34" s="48" t="s">
        <v>46</v>
      </c>
      <c r="F34" s="48" t="s">
        <v>47</v>
      </c>
      <c r="G34" s="48" t="s">
        <v>187</v>
      </c>
      <c r="H34" s="46">
        <v>8</v>
      </c>
      <c r="I34" s="49" t="s">
        <v>35</v>
      </c>
      <c r="J34" s="105">
        <v>45761</v>
      </c>
      <c r="K34" s="46"/>
      <c r="L34" s="46"/>
      <c r="M34" s="48" t="s">
        <v>54</v>
      </c>
      <c r="N34" s="46"/>
      <c r="O34" s="46"/>
      <c r="P34" s="46">
        <v>1</v>
      </c>
      <c r="Q34" s="46">
        <v>1</v>
      </c>
      <c r="R34" s="46"/>
      <c r="S34" s="46"/>
      <c r="T34" s="50">
        <v>600</v>
      </c>
      <c r="U34" s="50">
        <v>600</v>
      </c>
      <c r="V34" s="52">
        <v>45770</v>
      </c>
      <c r="W34" s="161">
        <f t="shared" si="2"/>
        <v>6</v>
      </c>
      <c r="X34" s="46">
        <f t="shared" si="6"/>
        <v>15</v>
      </c>
      <c r="Y34" s="46" t="str">
        <f t="shared" si="9"/>
        <v>Dans les délais</v>
      </c>
      <c r="Z34" s="159">
        <v>45776</v>
      </c>
      <c r="AA34" s="48"/>
      <c r="AB34" s="48"/>
      <c r="AG34" s="51">
        <f t="shared" si="4"/>
        <v>1</v>
      </c>
      <c r="AJ34" s="165">
        <f t="shared" si="5"/>
        <v>9</v>
      </c>
    </row>
    <row r="35" spans="1:36" s="155" customFormat="1" x14ac:dyDescent="0.25">
      <c r="A35" s="147">
        <v>16</v>
      </c>
      <c r="B35" s="147">
        <v>24</v>
      </c>
      <c r="C35" s="148" t="s">
        <v>2</v>
      </c>
      <c r="D35" s="149" t="s">
        <v>176</v>
      </c>
      <c r="E35" s="150" t="s">
        <v>36</v>
      </c>
      <c r="F35" s="150" t="s">
        <v>177</v>
      </c>
      <c r="G35" s="150" t="s">
        <v>178</v>
      </c>
      <c r="H35" s="147">
        <v>11</v>
      </c>
      <c r="I35" s="151" t="s">
        <v>15</v>
      </c>
      <c r="J35" s="152">
        <v>45769</v>
      </c>
      <c r="K35" s="147"/>
      <c r="L35" s="147"/>
      <c r="M35" s="150" t="s">
        <v>54</v>
      </c>
      <c r="N35" s="147"/>
      <c r="O35" s="147"/>
      <c r="P35" s="147">
        <v>1</v>
      </c>
      <c r="Q35" s="147">
        <v>1</v>
      </c>
      <c r="R35" s="147"/>
      <c r="S35" s="147"/>
      <c r="T35" s="153">
        <v>5000</v>
      </c>
      <c r="U35" s="153">
        <v>5000</v>
      </c>
      <c r="V35" s="156">
        <v>45784</v>
      </c>
      <c r="W35" s="162">
        <f t="shared" si="2"/>
        <v>29</v>
      </c>
      <c r="X35" s="147">
        <f t="shared" si="6"/>
        <v>44</v>
      </c>
      <c r="Y35" s="147" t="str">
        <f t="shared" ref="Y35" si="10">IF(W35&lt;30,"Dans les délais","Hors délais")</f>
        <v>Dans les délais</v>
      </c>
      <c r="Z35" s="160">
        <v>45813</v>
      </c>
      <c r="AA35" s="150"/>
      <c r="AB35" s="150"/>
      <c r="AG35" s="155">
        <f t="shared" si="4"/>
        <v>1</v>
      </c>
      <c r="AJ35" s="166">
        <f t="shared" si="5"/>
        <v>15</v>
      </c>
    </row>
    <row r="36" spans="1:36" s="51" customFormat="1" x14ac:dyDescent="0.25">
      <c r="A36" s="46">
        <v>17</v>
      </c>
      <c r="B36" s="46">
        <v>25</v>
      </c>
      <c r="C36" s="47" t="s">
        <v>2</v>
      </c>
      <c r="D36" s="120" t="s">
        <v>181</v>
      </c>
      <c r="E36" s="48" t="s">
        <v>36</v>
      </c>
      <c r="F36" s="48" t="s">
        <v>177</v>
      </c>
      <c r="G36" s="48" t="s">
        <v>178</v>
      </c>
      <c r="H36" s="46">
        <v>11</v>
      </c>
      <c r="I36" s="49" t="s">
        <v>182</v>
      </c>
      <c r="J36" s="105">
        <v>45771</v>
      </c>
      <c r="K36" s="46"/>
      <c r="L36" s="46"/>
      <c r="M36" s="48" t="s">
        <v>54</v>
      </c>
      <c r="N36" s="46"/>
      <c r="O36" s="46"/>
      <c r="P36" s="46">
        <v>1</v>
      </c>
      <c r="Q36" s="46">
        <v>1</v>
      </c>
      <c r="R36" s="46"/>
      <c r="S36" s="46"/>
      <c r="T36" s="50">
        <v>700</v>
      </c>
      <c r="U36" s="50">
        <v>700</v>
      </c>
      <c r="V36" s="52">
        <v>45771</v>
      </c>
      <c r="W36" s="161">
        <f t="shared" si="2"/>
        <v>1</v>
      </c>
      <c r="X36" s="46">
        <f t="shared" si="6"/>
        <v>1</v>
      </c>
      <c r="Y36" s="46" t="str">
        <f t="shared" ref="Y36" si="11">IF(W36&lt;30,"Dans les délais","Hors délais")</f>
        <v>Dans les délais</v>
      </c>
      <c r="Z36" s="159">
        <v>45772</v>
      </c>
      <c r="AA36" s="48"/>
      <c r="AB36" s="48"/>
      <c r="AG36" s="51">
        <f t="shared" si="4"/>
        <v>1</v>
      </c>
      <c r="AJ36" s="165">
        <f t="shared" si="5"/>
        <v>0</v>
      </c>
    </row>
    <row r="37" spans="1:36" s="155" customFormat="1" x14ac:dyDescent="0.25">
      <c r="A37" s="147">
        <v>18</v>
      </c>
      <c r="B37" s="147">
        <v>26</v>
      </c>
      <c r="C37" s="148" t="s">
        <v>23</v>
      </c>
      <c r="D37" s="149" t="s">
        <v>183</v>
      </c>
      <c r="E37" s="150" t="s">
        <v>184</v>
      </c>
      <c r="F37" s="150" t="s">
        <v>185</v>
      </c>
      <c r="G37" s="150" t="s">
        <v>195</v>
      </c>
      <c r="H37" s="147">
        <v>5</v>
      </c>
      <c r="I37" s="151" t="s">
        <v>35</v>
      </c>
      <c r="J37" s="152">
        <v>45772</v>
      </c>
      <c r="K37" s="147"/>
      <c r="L37" s="147"/>
      <c r="M37" s="150" t="s">
        <v>54</v>
      </c>
      <c r="N37" s="147"/>
      <c r="O37" s="147"/>
      <c r="P37" s="147">
        <v>1</v>
      </c>
      <c r="Q37" s="147">
        <v>1</v>
      </c>
      <c r="R37" s="147"/>
      <c r="S37" s="147"/>
      <c r="T37" s="153">
        <v>600</v>
      </c>
      <c r="U37" s="153">
        <v>600</v>
      </c>
      <c r="V37" s="154">
        <v>45775</v>
      </c>
      <c r="W37" s="162">
        <f t="shared" si="2"/>
        <v>4</v>
      </c>
      <c r="X37" s="147">
        <f t="shared" si="6"/>
        <v>7</v>
      </c>
      <c r="Y37" s="147" t="str">
        <f t="shared" ref="Y37:Y38" si="12">IF(W37&lt;30,"Dans les délais","Hors délais")</f>
        <v>Dans les délais</v>
      </c>
      <c r="Z37" s="160">
        <v>45779</v>
      </c>
      <c r="AA37" s="150"/>
      <c r="AB37" s="150"/>
      <c r="AG37" s="155">
        <f t="shared" si="4"/>
        <v>1</v>
      </c>
      <c r="AJ37" s="166">
        <f t="shared" si="5"/>
        <v>3</v>
      </c>
    </row>
    <row r="38" spans="1:36" s="51" customFormat="1" x14ac:dyDescent="0.25">
      <c r="A38" s="46">
        <v>19</v>
      </c>
      <c r="B38" s="46">
        <v>27</v>
      </c>
      <c r="C38" s="47" t="s">
        <v>2</v>
      </c>
      <c r="D38" s="120" t="s">
        <v>188</v>
      </c>
      <c r="E38" s="48" t="s">
        <v>63</v>
      </c>
      <c r="F38" s="48" t="s">
        <v>64</v>
      </c>
      <c r="G38" s="48" t="s">
        <v>196</v>
      </c>
      <c r="H38" s="46">
        <v>8</v>
      </c>
      <c r="I38" s="49" t="s">
        <v>15</v>
      </c>
      <c r="J38" s="105">
        <v>45777</v>
      </c>
      <c r="K38" s="46"/>
      <c r="L38" s="46"/>
      <c r="M38" s="48" t="s">
        <v>54</v>
      </c>
      <c r="N38" s="46"/>
      <c r="O38" s="46"/>
      <c r="P38" s="46">
        <v>1</v>
      </c>
      <c r="Q38" s="46">
        <v>1</v>
      </c>
      <c r="R38" s="46"/>
      <c r="S38" s="46"/>
      <c r="T38" s="50">
        <v>5000</v>
      </c>
      <c r="U38" s="50">
        <v>5000</v>
      </c>
      <c r="V38" s="52">
        <v>45792</v>
      </c>
      <c r="W38" s="161">
        <f t="shared" ref="W38" si="13">Z38-(MAX(V38,J38))</f>
        <v>29</v>
      </c>
      <c r="X38" s="46">
        <f t="shared" ref="X38" si="14">Z38-J38</f>
        <v>44</v>
      </c>
      <c r="Y38" s="46" t="str">
        <f t="shared" si="12"/>
        <v>Dans les délais</v>
      </c>
      <c r="Z38" s="159">
        <v>45821</v>
      </c>
      <c r="AA38" s="48"/>
      <c r="AB38" s="48"/>
      <c r="AG38" s="51">
        <f t="shared" si="4"/>
        <v>1</v>
      </c>
      <c r="AJ38" s="165">
        <f t="shared" si="5"/>
        <v>15</v>
      </c>
    </row>
    <row r="39" spans="1:36" s="155" customFormat="1" x14ac:dyDescent="0.25">
      <c r="A39" s="147">
        <v>20</v>
      </c>
      <c r="B39" s="147">
        <v>28</v>
      </c>
      <c r="C39" s="148" t="s">
        <v>2</v>
      </c>
      <c r="D39" s="149" t="s">
        <v>189</v>
      </c>
      <c r="E39" s="150" t="s">
        <v>190</v>
      </c>
      <c r="F39" s="150" t="s">
        <v>191</v>
      </c>
      <c r="G39" s="150" t="s">
        <v>199</v>
      </c>
      <c r="H39" s="147">
        <v>7</v>
      </c>
      <c r="I39" s="151" t="s">
        <v>35</v>
      </c>
      <c r="J39" s="152">
        <v>45782</v>
      </c>
      <c r="K39" s="147"/>
      <c r="L39" s="147"/>
      <c r="M39" s="150" t="s">
        <v>54</v>
      </c>
      <c r="N39" s="147"/>
      <c r="O39" s="147"/>
      <c r="P39" s="147">
        <v>1</v>
      </c>
      <c r="Q39" s="147">
        <v>1</v>
      </c>
      <c r="R39" s="147"/>
      <c r="S39" s="147"/>
      <c r="T39" s="153">
        <v>600</v>
      </c>
      <c r="U39" s="153">
        <v>600</v>
      </c>
      <c r="V39" s="154">
        <v>45785</v>
      </c>
      <c r="W39" s="162">
        <f t="shared" si="2"/>
        <v>1</v>
      </c>
      <c r="X39" s="147">
        <f t="shared" si="6"/>
        <v>4</v>
      </c>
      <c r="Y39" s="147" t="str">
        <f t="shared" ref="Y39" si="15">IF(W39&lt;30,"Dans les délais","Hors délais")</f>
        <v>Dans les délais</v>
      </c>
      <c r="Z39" s="160">
        <v>45786</v>
      </c>
      <c r="AA39" s="150"/>
      <c r="AB39" s="150"/>
      <c r="AG39" s="155">
        <f t="shared" si="4"/>
        <v>1</v>
      </c>
      <c r="AJ39" s="166">
        <f t="shared" si="5"/>
        <v>3</v>
      </c>
    </row>
    <row r="40" spans="1:36" s="196" customFormat="1" x14ac:dyDescent="0.25">
      <c r="A40" s="198">
        <v>21</v>
      </c>
      <c r="B40" s="198">
        <v>29</v>
      </c>
      <c r="C40" s="199" t="s">
        <v>2</v>
      </c>
      <c r="D40" s="200" t="s">
        <v>192</v>
      </c>
      <c r="E40" s="201" t="s">
        <v>193</v>
      </c>
      <c r="F40" s="201" t="s">
        <v>194</v>
      </c>
      <c r="G40" s="201"/>
      <c r="H40" s="198">
        <v>4</v>
      </c>
      <c r="I40" s="202" t="s">
        <v>182</v>
      </c>
      <c r="J40" s="203">
        <v>45783</v>
      </c>
      <c r="K40" s="198"/>
      <c r="L40" s="198"/>
      <c r="M40" s="201" t="s">
        <v>240</v>
      </c>
      <c r="N40" s="198"/>
      <c r="O40" s="198"/>
      <c r="P40" s="198">
        <v>1</v>
      </c>
      <c r="Q40" s="198">
        <v>1</v>
      </c>
      <c r="R40" s="198"/>
      <c r="S40" s="198"/>
      <c r="T40" s="204">
        <v>700</v>
      </c>
      <c r="U40" s="205"/>
      <c r="V40" s="205"/>
      <c r="W40" s="206"/>
      <c r="X40" s="206"/>
      <c r="Y40" s="205"/>
      <c r="Z40" s="207"/>
      <c r="AA40" s="205"/>
      <c r="AB40" s="205"/>
      <c r="AG40" s="196">
        <f t="shared" si="4"/>
        <v>0</v>
      </c>
      <c r="AJ40" s="197"/>
    </row>
    <row r="41" spans="1:36" s="155" customFormat="1" x14ac:dyDescent="0.25">
      <c r="A41" s="157">
        <v>22</v>
      </c>
      <c r="B41" s="147">
        <v>30</v>
      </c>
      <c r="C41" s="148" t="s">
        <v>2</v>
      </c>
      <c r="D41" s="149" t="s">
        <v>197</v>
      </c>
      <c r="E41" s="150" t="s">
        <v>63</v>
      </c>
      <c r="F41" s="150" t="s">
        <v>64</v>
      </c>
      <c r="G41" s="150" t="s">
        <v>198</v>
      </c>
      <c r="H41" s="147">
        <v>7</v>
      </c>
      <c r="I41" s="151" t="s">
        <v>35</v>
      </c>
      <c r="J41" s="152">
        <v>45785</v>
      </c>
      <c r="K41" s="147"/>
      <c r="L41" s="147"/>
      <c r="M41" s="150" t="s">
        <v>54</v>
      </c>
      <c r="N41" s="147"/>
      <c r="O41" s="147"/>
      <c r="P41" s="147">
        <v>1</v>
      </c>
      <c r="Q41" s="147">
        <v>1</v>
      </c>
      <c r="R41" s="147"/>
      <c r="S41" s="147"/>
      <c r="T41" s="153">
        <v>600</v>
      </c>
      <c r="U41" s="153">
        <v>600</v>
      </c>
      <c r="V41" s="154">
        <v>45792</v>
      </c>
      <c r="W41" s="162">
        <f t="shared" si="2"/>
        <v>5</v>
      </c>
      <c r="X41" s="147">
        <f t="shared" si="6"/>
        <v>12</v>
      </c>
      <c r="Y41" s="147" t="str">
        <f t="shared" ref="Y41" si="16">IF(W41&lt;30,"Dans les délais","Hors délais")</f>
        <v>Dans les délais</v>
      </c>
      <c r="Z41" s="160">
        <v>45797</v>
      </c>
      <c r="AA41" s="150"/>
      <c r="AB41" s="150"/>
      <c r="AG41" s="155">
        <f t="shared" si="4"/>
        <v>1</v>
      </c>
      <c r="AJ41" s="166">
        <f t="shared" si="5"/>
        <v>7</v>
      </c>
    </row>
    <row r="42" spans="1:36" s="51" customFormat="1" x14ac:dyDescent="0.25">
      <c r="A42" s="236">
        <v>23</v>
      </c>
      <c r="B42" s="46">
        <v>31</v>
      </c>
      <c r="C42" s="47" t="s">
        <v>2</v>
      </c>
      <c r="D42" s="120" t="s">
        <v>200</v>
      </c>
      <c r="E42" s="248" t="s">
        <v>36</v>
      </c>
      <c r="F42" s="48" t="s">
        <v>177</v>
      </c>
      <c r="G42" s="48" t="s">
        <v>201</v>
      </c>
      <c r="H42" s="46">
        <v>7</v>
      </c>
      <c r="I42" s="49" t="s">
        <v>15</v>
      </c>
      <c r="J42" s="105">
        <v>45790</v>
      </c>
      <c r="K42" s="46"/>
      <c r="L42" s="46"/>
      <c r="M42" s="48" t="s">
        <v>54</v>
      </c>
      <c r="N42" s="236"/>
      <c r="O42" s="46"/>
      <c r="P42" s="236">
        <v>1</v>
      </c>
      <c r="Q42" s="46">
        <v>1</v>
      </c>
      <c r="R42" s="236"/>
      <c r="S42" s="46"/>
      <c r="T42" s="50">
        <v>5600</v>
      </c>
      <c r="U42" s="50">
        <v>5000</v>
      </c>
      <c r="V42" s="180">
        <v>45806</v>
      </c>
      <c r="W42" s="46"/>
      <c r="X42" s="46"/>
      <c r="Y42" s="46"/>
      <c r="Z42" s="46"/>
      <c r="AA42" s="48"/>
      <c r="AB42" s="48"/>
      <c r="AG42" s="51">
        <f t="shared" si="4"/>
        <v>0</v>
      </c>
      <c r="AJ42" s="165">
        <f t="shared" si="5"/>
        <v>16</v>
      </c>
    </row>
    <row r="43" spans="1:36" s="51" customFormat="1" x14ac:dyDescent="0.25">
      <c r="A43" s="238"/>
      <c r="B43" s="46">
        <v>32</v>
      </c>
      <c r="C43" s="47" t="s">
        <v>2</v>
      </c>
      <c r="D43" s="120" t="s">
        <v>200</v>
      </c>
      <c r="E43" s="250"/>
      <c r="F43" s="48" t="s">
        <v>177</v>
      </c>
      <c r="G43" s="48" t="s">
        <v>202</v>
      </c>
      <c r="H43" s="46">
        <v>8</v>
      </c>
      <c r="I43" s="49" t="s">
        <v>35</v>
      </c>
      <c r="J43" s="105">
        <v>45790</v>
      </c>
      <c r="K43" s="46"/>
      <c r="L43" s="46"/>
      <c r="M43" s="48" t="s">
        <v>54</v>
      </c>
      <c r="N43" s="238"/>
      <c r="O43" s="46"/>
      <c r="P43" s="238"/>
      <c r="Q43" s="46">
        <v>1</v>
      </c>
      <c r="R43" s="238"/>
      <c r="S43" s="46"/>
      <c r="T43" s="48"/>
      <c r="U43" s="50">
        <v>600</v>
      </c>
      <c r="V43" s="180">
        <v>45806</v>
      </c>
      <c r="W43" s="46"/>
      <c r="X43" s="46"/>
      <c r="Y43" s="46"/>
      <c r="Z43" s="46"/>
      <c r="AA43" s="48"/>
      <c r="AB43" s="48"/>
      <c r="AG43" s="51">
        <f t="shared" si="4"/>
        <v>0</v>
      </c>
      <c r="AJ43" s="165">
        <f t="shared" si="5"/>
        <v>16</v>
      </c>
    </row>
    <row r="44" spans="1:36" s="155" customFormat="1" x14ac:dyDescent="0.25">
      <c r="A44" s="147">
        <v>24</v>
      </c>
      <c r="B44" s="147">
        <v>33</v>
      </c>
      <c r="C44" s="148" t="s">
        <v>2</v>
      </c>
      <c r="D44" s="149" t="s">
        <v>204</v>
      </c>
      <c r="E44" s="150" t="s">
        <v>184</v>
      </c>
      <c r="F44" s="150" t="s">
        <v>185</v>
      </c>
      <c r="G44" s="150" t="s">
        <v>205</v>
      </c>
      <c r="H44" s="147">
        <v>7</v>
      </c>
      <c r="I44" s="151" t="s">
        <v>35</v>
      </c>
      <c r="J44" s="152">
        <v>45797</v>
      </c>
      <c r="K44" s="147"/>
      <c r="L44" s="147"/>
      <c r="M44" s="150" t="s">
        <v>54</v>
      </c>
      <c r="N44" s="147"/>
      <c r="O44" s="147"/>
      <c r="P44" s="147">
        <v>1</v>
      </c>
      <c r="Q44" s="147">
        <v>1</v>
      </c>
      <c r="R44" s="150"/>
      <c r="S44" s="150"/>
      <c r="T44" s="153">
        <v>600</v>
      </c>
      <c r="U44" s="153">
        <v>600</v>
      </c>
      <c r="V44" s="154">
        <v>45800</v>
      </c>
      <c r="W44" s="162">
        <f t="shared" si="2"/>
        <v>3</v>
      </c>
      <c r="X44" s="147">
        <f t="shared" si="6"/>
        <v>6</v>
      </c>
      <c r="Y44" s="147" t="str">
        <f t="shared" ref="Y44:Y45" si="17">IF(W44&lt;30,"Dans les délais","Hors délais")</f>
        <v>Dans les délais</v>
      </c>
      <c r="Z44" s="160">
        <v>45803</v>
      </c>
      <c r="AA44" s="150"/>
      <c r="AB44" s="150"/>
      <c r="AG44" s="155">
        <f t="shared" si="4"/>
        <v>1</v>
      </c>
      <c r="AJ44" s="166">
        <f t="shared" si="5"/>
        <v>3</v>
      </c>
    </row>
    <row r="45" spans="1:36" s="51" customFormat="1" x14ac:dyDescent="0.25">
      <c r="A45" s="46">
        <v>25</v>
      </c>
      <c r="B45" s="46">
        <v>34</v>
      </c>
      <c r="C45" s="47" t="s">
        <v>23</v>
      </c>
      <c r="D45" s="120" t="s">
        <v>206</v>
      </c>
      <c r="E45" s="48" t="s">
        <v>207</v>
      </c>
      <c r="F45" s="48" t="s">
        <v>64</v>
      </c>
      <c r="G45" s="48" t="s">
        <v>180</v>
      </c>
      <c r="H45" s="46">
        <v>6</v>
      </c>
      <c r="I45" s="49" t="s">
        <v>15</v>
      </c>
      <c r="J45" s="105">
        <v>45804</v>
      </c>
      <c r="K45" s="46"/>
      <c r="L45" s="46"/>
      <c r="M45" s="48" t="s">
        <v>54</v>
      </c>
      <c r="N45" s="46"/>
      <c r="O45" s="46"/>
      <c r="P45" s="46">
        <v>1</v>
      </c>
      <c r="Q45" s="46">
        <v>1</v>
      </c>
      <c r="R45" s="46"/>
      <c r="S45" s="46"/>
      <c r="T45" s="50">
        <v>5000</v>
      </c>
      <c r="U45" s="50">
        <v>5000</v>
      </c>
      <c r="V45" s="52">
        <v>45847</v>
      </c>
      <c r="W45" s="161">
        <f t="shared" ref="W45" si="18">Z45-(MAX(V45,J45))</f>
        <v>27</v>
      </c>
      <c r="X45" s="46">
        <f t="shared" ref="X45" si="19">Z45-J45</f>
        <v>70</v>
      </c>
      <c r="Y45" s="46" t="str">
        <f t="shared" si="17"/>
        <v>Dans les délais</v>
      </c>
      <c r="Z45" s="159">
        <v>45874</v>
      </c>
      <c r="AA45" s="48"/>
      <c r="AB45" s="48"/>
      <c r="AG45" s="51">
        <f t="shared" si="4"/>
        <v>1</v>
      </c>
      <c r="AJ45" s="165"/>
    </row>
    <row r="46" spans="1:36" s="155" customFormat="1" x14ac:dyDescent="0.25">
      <c r="A46" s="147">
        <v>26</v>
      </c>
      <c r="B46" s="147">
        <v>35</v>
      </c>
      <c r="C46" s="148" t="s">
        <v>2</v>
      </c>
      <c r="D46" s="149" t="s">
        <v>209</v>
      </c>
      <c r="E46" s="150" t="s">
        <v>59</v>
      </c>
      <c r="F46" s="150" t="s">
        <v>208</v>
      </c>
      <c r="G46" s="150" t="s">
        <v>211</v>
      </c>
      <c r="H46" s="147" t="s">
        <v>210</v>
      </c>
      <c r="I46" s="151" t="s">
        <v>182</v>
      </c>
      <c r="J46" s="152">
        <v>45810</v>
      </c>
      <c r="K46" s="147"/>
      <c r="L46" s="147"/>
      <c r="M46" s="150" t="s">
        <v>54</v>
      </c>
      <c r="N46" s="147"/>
      <c r="O46" s="147"/>
      <c r="P46" s="147">
        <v>1</v>
      </c>
      <c r="Q46" s="147">
        <v>1</v>
      </c>
      <c r="R46" s="147"/>
      <c r="S46" s="147"/>
      <c r="T46" s="153">
        <v>700</v>
      </c>
      <c r="U46" s="153">
        <v>700</v>
      </c>
      <c r="V46" s="154">
        <v>45812</v>
      </c>
      <c r="W46" s="162">
        <f t="shared" si="2"/>
        <v>5</v>
      </c>
      <c r="X46" s="147">
        <f t="shared" si="6"/>
        <v>7</v>
      </c>
      <c r="Y46" s="147" t="str">
        <f t="shared" ref="Y46:Y55" si="20">IF(W46&lt;30,"Dans les délais","Hors délais")</f>
        <v>Dans les délais</v>
      </c>
      <c r="Z46" s="160">
        <v>45817</v>
      </c>
      <c r="AA46" s="158"/>
      <c r="AB46" s="158"/>
      <c r="AG46" s="155">
        <f t="shared" si="4"/>
        <v>1</v>
      </c>
      <c r="AJ46" s="165">
        <f t="shared" si="5"/>
        <v>2</v>
      </c>
    </row>
    <row r="47" spans="1:36" s="51" customFormat="1" x14ac:dyDescent="0.25">
      <c r="A47" s="236">
        <v>27</v>
      </c>
      <c r="B47" s="46">
        <v>36</v>
      </c>
      <c r="C47" s="47" t="s">
        <v>2</v>
      </c>
      <c r="D47" s="120" t="s">
        <v>214</v>
      </c>
      <c r="E47" s="248" t="s">
        <v>36</v>
      </c>
      <c r="F47" s="48" t="s">
        <v>177</v>
      </c>
      <c r="G47" s="48" t="s">
        <v>218</v>
      </c>
      <c r="H47" s="46" t="s">
        <v>226</v>
      </c>
      <c r="I47" s="49" t="s">
        <v>182</v>
      </c>
      <c r="J47" s="105">
        <v>45831</v>
      </c>
      <c r="K47" s="46"/>
      <c r="L47" s="46"/>
      <c r="M47" s="48" t="s">
        <v>54</v>
      </c>
      <c r="N47" s="236"/>
      <c r="O47" s="48"/>
      <c r="P47" s="236">
        <v>1</v>
      </c>
      <c r="Q47" s="46">
        <v>1</v>
      </c>
      <c r="R47" s="236"/>
      <c r="S47" s="46"/>
      <c r="T47" s="234">
        <v>1400</v>
      </c>
      <c r="U47" s="234">
        <v>1400</v>
      </c>
      <c r="V47" s="52">
        <v>45838</v>
      </c>
      <c r="W47" s="161">
        <f t="shared" si="2"/>
        <v>3</v>
      </c>
      <c r="X47" s="46">
        <f t="shared" si="6"/>
        <v>10</v>
      </c>
      <c r="Y47" s="46" t="str">
        <f t="shared" si="20"/>
        <v>Dans les délais</v>
      </c>
      <c r="Z47" s="159">
        <v>45841</v>
      </c>
      <c r="AA47" s="167"/>
      <c r="AB47" s="167"/>
      <c r="AG47" s="155">
        <f t="shared" si="4"/>
        <v>1</v>
      </c>
    </row>
    <row r="48" spans="1:36" s="51" customFormat="1" x14ac:dyDescent="0.25">
      <c r="A48" s="238"/>
      <c r="B48" s="46">
        <v>37</v>
      </c>
      <c r="C48" s="47" t="s">
        <v>2</v>
      </c>
      <c r="D48" s="120" t="s">
        <v>214</v>
      </c>
      <c r="E48" s="250"/>
      <c r="F48" s="48" t="s">
        <v>177</v>
      </c>
      <c r="G48" s="48" t="s">
        <v>219</v>
      </c>
      <c r="H48" s="46" t="s">
        <v>227</v>
      </c>
      <c r="I48" s="49" t="s">
        <v>182</v>
      </c>
      <c r="J48" s="105">
        <v>45831</v>
      </c>
      <c r="K48" s="46"/>
      <c r="L48" s="46"/>
      <c r="M48" s="48" t="s">
        <v>54</v>
      </c>
      <c r="N48" s="238"/>
      <c r="O48" s="48"/>
      <c r="P48" s="238"/>
      <c r="Q48" s="46">
        <v>1</v>
      </c>
      <c r="R48" s="238"/>
      <c r="S48" s="46"/>
      <c r="T48" s="235"/>
      <c r="U48" s="235"/>
      <c r="V48" s="52">
        <v>45838</v>
      </c>
      <c r="W48" s="161">
        <f t="shared" si="2"/>
        <v>3</v>
      </c>
      <c r="X48" s="46">
        <f t="shared" si="6"/>
        <v>10</v>
      </c>
      <c r="Y48" s="46" t="str">
        <f t="shared" si="20"/>
        <v>Dans les délais</v>
      </c>
      <c r="Z48" s="159">
        <v>45841</v>
      </c>
      <c r="AA48" s="167"/>
      <c r="AB48" s="167"/>
      <c r="AG48" s="155">
        <f t="shared" si="4"/>
        <v>1</v>
      </c>
    </row>
    <row r="49" spans="1:147" s="155" customFormat="1" x14ac:dyDescent="0.25">
      <c r="A49" s="242">
        <v>28</v>
      </c>
      <c r="B49" s="147">
        <v>38</v>
      </c>
      <c r="C49" s="148" t="s">
        <v>2</v>
      </c>
      <c r="D49" s="149" t="s">
        <v>216</v>
      </c>
      <c r="E49" s="245" t="s">
        <v>215</v>
      </c>
      <c r="F49" s="150" t="s">
        <v>217</v>
      </c>
      <c r="G49" s="150" t="s">
        <v>229</v>
      </c>
      <c r="H49" s="147" t="s">
        <v>228</v>
      </c>
      <c r="I49" s="151" t="s">
        <v>182</v>
      </c>
      <c r="J49" s="152">
        <v>45833</v>
      </c>
      <c r="K49" s="147"/>
      <c r="L49" s="147"/>
      <c r="M49" s="150" t="s">
        <v>54</v>
      </c>
      <c r="N49" s="242"/>
      <c r="O49" s="147"/>
      <c r="P49" s="242">
        <v>1</v>
      </c>
      <c r="Q49" s="147">
        <v>1</v>
      </c>
      <c r="R49" s="242"/>
      <c r="S49" s="147"/>
      <c r="T49" s="254">
        <v>1400</v>
      </c>
      <c r="U49" s="302">
        <v>1400</v>
      </c>
      <c r="V49" s="154">
        <v>45839</v>
      </c>
      <c r="W49" s="162">
        <f t="shared" ref="W49:W55" si="21">Z49-(MAX(V49,J49))</f>
        <v>7</v>
      </c>
      <c r="X49" s="147">
        <f t="shared" ref="X49:X55" si="22">Z49-J49</f>
        <v>13</v>
      </c>
      <c r="Y49" s="147" t="str">
        <f t="shared" si="20"/>
        <v>Dans les délais</v>
      </c>
      <c r="Z49" s="160">
        <v>45846</v>
      </c>
      <c r="AA49" s="158"/>
      <c r="AB49" s="158"/>
      <c r="AG49" s="155">
        <f t="shared" si="4"/>
        <v>1</v>
      </c>
    </row>
    <row r="50" spans="1:147" s="155" customFormat="1" x14ac:dyDescent="0.25">
      <c r="A50" s="244"/>
      <c r="B50" s="147">
        <v>39</v>
      </c>
      <c r="C50" s="148" t="s">
        <v>2</v>
      </c>
      <c r="D50" s="149" t="s">
        <v>216</v>
      </c>
      <c r="E50" s="247"/>
      <c r="F50" s="150" t="s">
        <v>217</v>
      </c>
      <c r="G50" s="150" t="s">
        <v>230</v>
      </c>
      <c r="H50" s="147" t="s">
        <v>228</v>
      </c>
      <c r="I50" s="151" t="s">
        <v>182</v>
      </c>
      <c r="J50" s="152">
        <v>45833</v>
      </c>
      <c r="K50" s="147"/>
      <c r="L50" s="147"/>
      <c r="M50" s="150" t="s">
        <v>54</v>
      </c>
      <c r="N50" s="244"/>
      <c r="O50" s="147"/>
      <c r="P50" s="244"/>
      <c r="Q50" s="147">
        <v>1</v>
      </c>
      <c r="R50" s="244"/>
      <c r="S50" s="147"/>
      <c r="T50" s="256"/>
      <c r="U50" s="303"/>
      <c r="V50" s="154">
        <v>45839</v>
      </c>
      <c r="W50" s="162">
        <f t="shared" si="21"/>
        <v>7</v>
      </c>
      <c r="X50" s="147">
        <f t="shared" si="22"/>
        <v>13</v>
      </c>
      <c r="Y50" s="147" t="str">
        <f t="shared" si="20"/>
        <v>Dans les délais</v>
      </c>
      <c r="Z50" s="160">
        <v>45846</v>
      </c>
      <c r="AA50" s="158"/>
      <c r="AB50" s="158"/>
      <c r="AG50" s="155">
        <f t="shared" si="4"/>
        <v>1</v>
      </c>
    </row>
    <row r="51" spans="1:147" s="51" customFormat="1" x14ac:dyDescent="0.25">
      <c r="A51" s="236">
        <v>29</v>
      </c>
      <c r="B51" s="46">
        <v>40</v>
      </c>
      <c r="C51" s="47" t="s">
        <v>2</v>
      </c>
      <c r="D51" s="120" t="s">
        <v>220</v>
      </c>
      <c r="E51" s="248" t="s">
        <v>221</v>
      </c>
      <c r="F51" s="48" t="s">
        <v>222</v>
      </c>
      <c r="G51" s="48" t="s">
        <v>223</v>
      </c>
      <c r="H51" s="46">
        <v>8</v>
      </c>
      <c r="I51" s="49" t="s">
        <v>15</v>
      </c>
      <c r="J51" s="105">
        <v>45838</v>
      </c>
      <c r="K51" s="46"/>
      <c r="L51" s="49"/>
      <c r="M51" s="48" t="s">
        <v>54</v>
      </c>
      <c r="N51" s="236"/>
      <c r="O51" s="46"/>
      <c r="P51" s="236">
        <v>1</v>
      </c>
      <c r="Q51" s="46">
        <v>1</v>
      </c>
      <c r="R51" s="236"/>
      <c r="S51" s="46"/>
      <c r="T51" s="251">
        <v>6200</v>
      </c>
      <c r="U51" s="50">
        <v>5000</v>
      </c>
      <c r="V51" s="52">
        <v>45854</v>
      </c>
      <c r="W51" s="46">
        <f t="shared" si="21"/>
        <v>35</v>
      </c>
      <c r="X51" s="46">
        <f t="shared" si="22"/>
        <v>51</v>
      </c>
      <c r="Y51" s="46" t="str">
        <f t="shared" si="20"/>
        <v>Hors délais</v>
      </c>
      <c r="Z51" s="159">
        <v>45889</v>
      </c>
      <c r="AA51" s="48"/>
      <c r="AB51" s="48"/>
      <c r="AG51" s="155">
        <f t="shared" si="4"/>
        <v>0</v>
      </c>
    </row>
    <row r="52" spans="1:147" s="51" customFormat="1" x14ac:dyDescent="0.25">
      <c r="A52" s="237"/>
      <c r="B52" s="46">
        <v>41</v>
      </c>
      <c r="C52" s="47" t="s">
        <v>2</v>
      </c>
      <c r="D52" s="120" t="s">
        <v>220</v>
      </c>
      <c r="E52" s="249"/>
      <c r="F52" s="48" t="s">
        <v>222</v>
      </c>
      <c r="G52" s="48" t="s">
        <v>224</v>
      </c>
      <c r="H52" s="46">
        <v>8</v>
      </c>
      <c r="I52" s="49" t="s">
        <v>35</v>
      </c>
      <c r="J52" s="105">
        <v>45838</v>
      </c>
      <c r="K52" s="46"/>
      <c r="L52" s="49"/>
      <c r="M52" s="48" t="s">
        <v>54</v>
      </c>
      <c r="N52" s="237"/>
      <c r="O52" s="46"/>
      <c r="P52" s="237"/>
      <c r="Q52" s="46">
        <v>1</v>
      </c>
      <c r="R52" s="237"/>
      <c r="S52" s="46"/>
      <c r="T52" s="252"/>
      <c r="U52" s="234">
        <v>1200</v>
      </c>
      <c r="V52" s="52">
        <v>45854</v>
      </c>
      <c r="W52" s="46">
        <f t="shared" si="21"/>
        <v>35</v>
      </c>
      <c r="X52" s="46">
        <f t="shared" si="22"/>
        <v>51</v>
      </c>
      <c r="Y52" s="46" t="str">
        <f t="shared" si="20"/>
        <v>Hors délais</v>
      </c>
      <c r="Z52" s="159">
        <v>45889</v>
      </c>
      <c r="AA52" s="48"/>
      <c r="AB52" s="48"/>
      <c r="AG52" s="155">
        <f t="shared" si="4"/>
        <v>0</v>
      </c>
    </row>
    <row r="53" spans="1:147" s="51" customFormat="1" x14ac:dyDescent="0.25">
      <c r="A53" s="238"/>
      <c r="B53" s="46">
        <v>42</v>
      </c>
      <c r="C53" s="47" t="s">
        <v>2</v>
      </c>
      <c r="D53" s="120" t="s">
        <v>220</v>
      </c>
      <c r="E53" s="250"/>
      <c r="F53" s="48" t="s">
        <v>222</v>
      </c>
      <c r="G53" s="48" t="s">
        <v>225</v>
      </c>
      <c r="H53" s="46">
        <v>8</v>
      </c>
      <c r="I53" s="49" t="s">
        <v>35</v>
      </c>
      <c r="J53" s="105">
        <v>45838</v>
      </c>
      <c r="K53" s="46"/>
      <c r="L53" s="49"/>
      <c r="M53" s="48" t="s">
        <v>54</v>
      </c>
      <c r="N53" s="238"/>
      <c r="O53" s="46"/>
      <c r="P53" s="238"/>
      <c r="Q53" s="46">
        <v>1</v>
      </c>
      <c r="R53" s="238"/>
      <c r="S53" s="46"/>
      <c r="T53" s="253"/>
      <c r="U53" s="235"/>
      <c r="V53" s="52">
        <v>45854</v>
      </c>
      <c r="W53" s="46">
        <f t="shared" si="21"/>
        <v>35</v>
      </c>
      <c r="X53" s="46">
        <f t="shared" si="22"/>
        <v>51</v>
      </c>
      <c r="Y53" s="46" t="str">
        <f t="shared" si="20"/>
        <v>Hors délais</v>
      </c>
      <c r="Z53" s="159">
        <v>45889</v>
      </c>
      <c r="AA53" s="48"/>
      <c r="AB53" s="48"/>
      <c r="AG53" s="155">
        <f t="shared" si="4"/>
        <v>0</v>
      </c>
    </row>
    <row r="54" spans="1:147" s="155" customFormat="1" x14ac:dyDescent="0.25">
      <c r="A54" s="242">
        <v>30</v>
      </c>
      <c r="B54" s="147">
        <v>43</v>
      </c>
      <c r="C54" s="148" t="s">
        <v>2</v>
      </c>
      <c r="D54" s="149" t="s">
        <v>231</v>
      </c>
      <c r="E54" s="245" t="s">
        <v>59</v>
      </c>
      <c r="F54" s="150" t="s">
        <v>208</v>
      </c>
      <c r="G54" s="150" t="s">
        <v>263</v>
      </c>
      <c r="H54" s="147">
        <v>12</v>
      </c>
      <c r="I54" s="151" t="s">
        <v>15</v>
      </c>
      <c r="J54" s="152">
        <v>45853</v>
      </c>
      <c r="K54" s="147"/>
      <c r="L54" s="151"/>
      <c r="M54" s="150" t="s">
        <v>54</v>
      </c>
      <c r="N54" s="242"/>
      <c r="O54" s="147"/>
      <c r="P54" s="242">
        <v>1</v>
      </c>
      <c r="Q54" s="147">
        <v>1</v>
      </c>
      <c r="R54" s="242"/>
      <c r="S54" s="147"/>
      <c r="T54" s="254">
        <v>12000</v>
      </c>
      <c r="U54" s="254">
        <v>12000</v>
      </c>
      <c r="V54" s="154">
        <v>45866</v>
      </c>
      <c r="W54" s="162">
        <f t="shared" si="21"/>
        <v>36</v>
      </c>
      <c r="X54" s="147">
        <f t="shared" si="22"/>
        <v>49</v>
      </c>
      <c r="Y54" s="147" t="str">
        <f t="shared" si="20"/>
        <v>Hors délais</v>
      </c>
      <c r="Z54" s="160">
        <v>45902</v>
      </c>
      <c r="AA54" s="158"/>
      <c r="AB54" s="150"/>
      <c r="AG54" s="155">
        <f t="shared" si="4"/>
        <v>0</v>
      </c>
    </row>
    <row r="55" spans="1:147" s="155" customFormat="1" x14ac:dyDescent="0.25">
      <c r="A55" s="243"/>
      <c r="B55" s="147">
        <v>44</v>
      </c>
      <c r="C55" s="148" t="s">
        <v>2</v>
      </c>
      <c r="D55" s="149" t="s">
        <v>231</v>
      </c>
      <c r="E55" s="246"/>
      <c r="F55" s="150" t="s">
        <v>208</v>
      </c>
      <c r="G55" s="150" t="s">
        <v>262</v>
      </c>
      <c r="H55" s="147">
        <v>10.5</v>
      </c>
      <c r="I55" s="151" t="s">
        <v>15</v>
      </c>
      <c r="J55" s="152">
        <v>45853</v>
      </c>
      <c r="K55" s="147"/>
      <c r="L55" s="151"/>
      <c r="M55" s="150" t="s">
        <v>54</v>
      </c>
      <c r="N55" s="243"/>
      <c r="O55" s="147"/>
      <c r="P55" s="243"/>
      <c r="Q55" s="147">
        <v>1</v>
      </c>
      <c r="R55" s="243"/>
      <c r="S55" s="147"/>
      <c r="T55" s="255"/>
      <c r="U55" s="255"/>
      <c r="V55" s="154">
        <v>45866</v>
      </c>
      <c r="W55" s="162">
        <f t="shared" si="21"/>
        <v>35</v>
      </c>
      <c r="X55" s="147">
        <f t="shared" si="22"/>
        <v>48</v>
      </c>
      <c r="Y55" s="147" t="str">
        <f t="shared" si="20"/>
        <v>Hors délais</v>
      </c>
      <c r="Z55" s="160">
        <v>45901</v>
      </c>
      <c r="AA55" s="158"/>
      <c r="AB55" s="150"/>
      <c r="AG55" s="155">
        <f t="shared" si="4"/>
        <v>0</v>
      </c>
    </row>
    <row r="56" spans="1:147" s="155" customFormat="1" x14ac:dyDescent="0.25">
      <c r="A56" s="244"/>
      <c r="B56" s="147">
        <v>45</v>
      </c>
      <c r="C56" s="148" t="s">
        <v>2</v>
      </c>
      <c r="D56" s="149" t="s">
        <v>231</v>
      </c>
      <c r="E56" s="247"/>
      <c r="F56" s="150" t="s">
        <v>208</v>
      </c>
      <c r="G56" s="150" t="s">
        <v>261</v>
      </c>
      <c r="H56" s="147">
        <v>12</v>
      </c>
      <c r="I56" s="151" t="s">
        <v>15</v>
      </c>
      <c r="J56" s="152">
        <v>45853</v>
      </c>
      <c r="K56" s="147"/>
      <c r="L56" s="151"/>
      <c r="M56" s="150" t="s">
        <v>54</v>
      </c>
      <c r="N56" s="244"/>
      <c r="O56" s="147"/>
      <c r="P56" s="244"/>
      <c r="Q56" s="147">
        <v>1</v>
      </c>
      <c r="R56" s="244"/>
      <c r="S56" s="150"/>
      <c r="T56" s="256"/>
      <c r="U56" s="256"/>
      <c r="V56" s="154">
        <v>45866</v>
      </c>
      <c r="W56" s="162">
        <f t="shared" ref="W56" si="23">Z56-(MAX(V56,J56))</f>
        <v>35</v>
      </c>
      <c r="X56" s="147">
        <f t="shared" ref="X56" si="24">Z56-J56</f>
        <v>48</v>
      </c>
      <c r="Y56" s="147" t="str">
        <f t="shared" ref="Y56" si="25">IF(W56&lt;30,"Dans les délais","Hors délais")</f>
        <v>Hors délais</v>
      </c>
      <c r="Z56" s="160">
        <v>45901</v>
      </c>
      <c r="AA56" s="158"/>
      <c r="AB56" s="150"/>
      <c r="AG56" s="155">
        <f t="shared" si="4"/>
        <v>0</v>
      </c>
    </row>
    <row r="57" spans="1:147" s="8" customFormat="1" x14ac:dyDescent="0.25">
      <c r="A57" s="236">
        <v>31</v>
      </c>
      <c r="B57" s="220">
        <v>46</v>
      </c>
      <c r="C57" s="208" t="s">
        <v>2</v>
      </c>
      <c r="D57" s="221" t="s">
        <v>232</v>
      </c>
      <c r="E57" s="239" t="s">
        <v>233</v>
      </c>
      <c r="F57" s="41"/>
      <c r="G57" s="41" t="s">
        <v>248</v>
      </c>
      <c r="H57" s="220">
        <v>7</v>
      </c>
      <c r="I57" s="209" t="s">
        <v>15</v>
      </c>
      <c r="J57" s="210"/>
      <c r="K57" s="220"/>
      <c r="L57" s="209"/>
      <c r="M57" s="41" t="s">
        <v>241</v>
      </c>
      <c r="N57" s="260">
        <v>1</v>
      </c>
      <c r="O57" s="223">
        <v>1</v>
      </c>
      <c r="P57" s="260"/>
      <c r="Q57" s="41"/>
      <c r="R57" s="260"/>
      <c r="S57" s="220"/>
      <c r="T57" s="257">
        <v>17000</v>
      </c>
      <c r="U57" s="257">
        <v>17000</v>
      </c>
      <c r="V57" s="211">
        <v>45888</v>
      </c>
      <c r="W57" s="220"/>
      <c r="X57" s="220"/>
      <c r="Y57" s="220"/>
      <c r="Z57" s="220"/>
      <c r="AA57" s="41"/>
      <c r="AB57" s="41"/>
      <c r="AC57" s="17"/>
      <c r="AD57" s="17"/>
      <c r="AE57" s="17"/>
      <c r="AF57" s="17"/>
      <c r="AG57" s="155">
        <f t="shared" si="4"/>
        <v>0</v>
      </c>
      <c r="AH57" s="17"/>
      <c r="AI57" s="17"/>
      <c r="AJ57" s="17"/>
      <c r="AK57" s="17"/>
      <c r="AL57" s="17"/>
      <c r="AM57" s="17"/>
      <c r="AN57" s="17"/>
      <c r="AO57" s="17"/>
      <c r="AP57" s="17"/>
      <c r="AQ57" s="17"/>
      <c r="AR57" s="17"/>
      <c r="AS57" s="17"/>
      <c r="AT57" s="17"/>
      <c r="AU57" s="17"/>
      <c r="AV57" s="17"/>
      <c r="AW57" s="17"/>
      <c r="AX57" s="17"/>
      <c r="AY57" s="17"/>
      <c r="AZ57" s="17"/>
      <c r="BA57" s="17"/>
      <c r="BB57" s="17"/>
      <c r="BC57" s="17"/>
      <c r="BD57" s="17"/>
      <c r="BE57" s="17"/>
      <c r="BF57" s="17"/>
      <c r="BG57" s="17"/>
      <c r="BH57" s="17"/>
      <c r="BI57" s="17"/>
      <c r="BJ57" s="17"/>
      <c r="BK57" s="17"/>
      <c r="BL57" s="17"/>
      <c r="BM57" s="17"/>
      <c r="BN57" s="17"/>
      <c r="BO57" s="17"/>
      <c r="BP57" s="17"/>
      <c r="BQ57" s="17"/>
      <c r="BR57" s="17"/>
      <c r="BS57" s="17"/>
      <c r="BT57" s="17"/>
      <c r="BU57" s="17"/>
      <c r="BV57" s="17"/>
      <c r="BW57" s="17"/>
      <c r="BX57" s="17"/>
      <c r="BY57" s="17"/>
      <c r="BZ57" s="17"/>
      <c r="CA57" s="17"/>
      <c r="CB57" s="17"/>
      <c r="CC57" s="17"/>
      <c r="CD57" s="17"/>
      <c r="CE57" s="17"/>
      <c r="CF57" s="17"/>
      <c r="CG57" s="17"/>
      <c r="CH57" s="17"/>
      <c r="CI57" s="17"/>
      <c r="CJ57" s="17"/>
      <c r="CK57" s="17"/>
      <c r="CL57" s="17"/>
      <c r="CM57" s="17"/>
      <c r="CN57" s="17"/>
      <c r="CO57" s="17"/>
      <c r="CP57" s="17"/>
      <c r="CQ57" s="17"/>
      <c r="CR57" s="17"/>
      <c r="CS57" s="17"/>
      <c r="CT57" s="17"/>
      <c r="CU57" s="17"/>
      <c r="CV57" s="17"/>
      <c r="CW57" s="17"/>
      <c r="CX57" s="17"/>
      <c r="CY57" s="17"/>
      <c r="CZ57" s="17"/>
      <c r="DA57" s="17"/>
      <c r="DB57" s="17"/>
      <c r="DC57" s="17"/>
      <c r="DD57" s="17"/>
      <c r="DE57" s="17"/>
      <c r="DF57" s="17"/>
      <c r="DG57" s="17"/>
      <c r="DH57" s="17"/>
      <c r="DI57" s="17"/>
      <c r="DJ57" s="17"/>
      <c r="DK57" s="17"/>
      <c r="DL57" s="17"/>
      <c r="DM57" s="17"/>
      <c r="DN57" s="17"/>
      <c r="DO57" s="17"/>
      <c r="DP57" s="17"/>
      <c r="DQ57" s="17"/>
      <c r="DR57" s="17"/>
      <c r="DS57" s="17"/>
      <c r="DT57" s="17"/>
      <c r="DU57" s="17"/>
      <c r="DV57" s="17"/>
      <c r="DW57" s="17"/>
      <c r="DX57" s="17"/>
      <c r="DY57" s="17"/>
      <c r="DZ57" s="17"/>
      <c r="EA57" s="17"/>
      <c r="EB57" s="17"/>
      <c r="EC57" s="17"/>
      <c r="ED57" s="17"/>
      <c r="EE57" s="17"/>
      <c r="EF57" s="17"/>
      <c r="EG57" s="17"/>
      <c r="EH57" s="17"/>
      <c r="EI57" s="17"/>
      <c r="EJ57" s="17"/>
      <c r="EK57" s="17"/>
      <c r="EL57" s="17"/>
      <c r="EM57" s="17"/>
      <c r="EN57" s="17"/>
      <c r="EO57" s="17"/>
      <c r="EP57" s="17"/>
      <c r="EQ57" s="17"/>
    </row>
    <row r="58" spans="1:147" s="8" customFormat="1" x14ac:dyDescent="0.25">
      <c r="A58" s="237"/>
      <c r="B58" s="220">
        <v>47</v>
      </c>
      <c r="C58" s="208" t="s">
        <v>2</v>
      </c>
      <c r="D58" s="221" t="s">
        <v>232</v>
      </c>
      <c r="E58" s="240"/>
      <c r="F58" s="41"/>
      <c r="G58" s="41" t="s">
        <v>249</v>
      </c>
      <c r="H58" s="220">
        <v>8</v>
      </c>
      <c r="I58" s="209" t="s">
        <v>15</v>
      </c>
      <c r="J58" s="209"/>
      <c r="K58" s="220"/>
      <c r="L58" s="209"/>
      <c r="M58" s="41" t="s">
        <v>241</v>
      </c>
      <c r="N58" s="261"/>
      <c r="O58" s="223">
        <v>1</v>
      </c>
      <c r="P58" s="261"/>
      <c r="Q58" s="41"/>
      <c r="R58" s="261"/>
      <c r="S58" s="220"/>
      <c r="T58" s="258"/>
      <c r="U58" s="258"/>
      <c r="V58" s="211">
        <v>45888</v>
      </c>
      <c r="W58" s="220"/>
      <c r="X58" s="220"/>
      <c r="Y58" s="220"/>
      <c r="Z58" s="220"/>
      <c r="AA58" s="41"/>
      <c r="AB58" s="41"/>
      <c r="AC58" s="17"/>
      <c r="AD58" s="17"/>
      <c r="AE58" s="17"/>
      <c r="AF58" s="17"/>
      <c r="AG58" s="155">
        <f t="shared" si="4"/>
        <v>0</v>
      </c>
      <c r="AH58" s="17"/>
      <c r="AI58" s="17"/>
      <c r="AJ58" s="17"/>
      <c r="AK58" s="17"/>
      <c r="AL58" s="17"/>
      <c r="AM58" s="17"/>
      <c r="AN58" s="17"/>
      <c r="AO58" s="17"/>
      <c r="AP58" s="17"/>
      <c r="AQ58" s="17"/>
      <c r="AR58" s="17"/>
      <c r="AS58" s="17"/>
      <c r="AT58" s="17"/>
      <c r="AU58" s="17"/>
      <c r="AV58" s="17"/>
      <c r="AW58" s="17"/>
      <c r="AX58" s="17"/>
      <c r="AY58" s="17"/>
      <c r="AZ58" s="17"/>
      <c r="BA58" s="17"/>
      <c r="BB58" s="17"/>
      <c r="BC58" s="17"/>
      <c r="BD58" s="17"/>
      <c r="BE58" s="17"/>
      <c r="BF58" s="17"/>
      <c r="BG58" s="17"/>
      <c r="BH58" s="17"/>
      <c r="BI58" s="17"/>
      <c r="BJ58" s="17"/>
      <c r="BK58" s="17"/>
      <c r="BL58" s="17"/>
      <c r="BM58" s="17"/>
      <c r="BN58" s="17"/>
      <c r="BO58" s="17"/>
      <c r="BP58" s="17"/>
      <c r="BQ58" s="17"/>
      <c r="BR58" s="17"/>
      <c r="BS58" s="17"/>
      <c r="BT58" s="17"/>
      <c r="BU58" s="17"/>
      <c r="BV58" s="17"/>
      <c r="BW58" s="17"/>
      <c r="BX58" s="17"/>
      <c r="BY58" s="17"/>
      <c r="BZ58" s="17"/>
      <c r="CA58" s="17"/>
      <c r="CB58" s="17"/>
      <c r="CC58" s="17"/>
      <c r="CD58" s="17"/>
      <c r="CE58" s="17"/>
      <c r="CF58" s="17"/>
      <c r="CG58" s="17"/>
      <c r="CH58" s="17"/>
      <c r="CI58" s="17"/>
      <c r="CJ58" s="17"/>
      <c r="CK58" s="17"/>
      <c r="CL58" s="17"/>
      <c r="CM58" s="17"/>
      <c r="CN58" s="17"/>
      <c r="CO58" s="17"/>
      <c r="CP58" s="17"/>
      <c r="CQ58" s="17"/>
      <c r="CR58" s="17"/>
      <c r="CS58" s="17"/>
      <c r="CT58" s="17"/>
      <c r="CU58" s="17"/>
      <c r="CV58" s="17"/>
      <c r="CW58" s="17"/>
      <c r="CX58" s="17"/>
      <c r="CY58" s="17"/>
      <c r="CZ58" s="17"/>
      <c r="DA58" s="17"/>
      <c r="DB58" s="17"/>
      <c r="DC58" s="17"/>
      <c r="DD58" s="17"/>
      <c r="DE58" s="17"/>
      <c r="DF58" s="17"/>
      <c r="DG58" s="17"/>
      <c r="DH58" s="17"/>
      <c r="DI58" s="17"/>
      <c r="DJ58" s="17"/>
      <c r="DK58" s="17"/>
      <c r="DL58" s="17"/>
      <c r="DM58" s="17"/>
      <c r="DN58" s="17"/>
      <c r="DO58" s="17"/>
      <c r="DP58" s="17"/>
      <c r="DQ58" s="17"/>
      <c r="DR58" s="17"/>
      <c r="DS58" s="17"/>
      <c r="DT58" s="17"/>
      <c r="DU58" s="17"/>
      <c r="DV58" s="17"/>
      <c r="DW58" s="17"/>
      <c r="DX58" s="17"/>
      <c r="DY58" s="17"/>
      <c r="DZ58" s="17"/>
      <c r="EA58" s="17"/>
      <c r="EB58" s="17"/>
      <c r="EC58" s="17"/>
      <c r="ED58" s="17"/>
      <c r="EE58" s="17"/>
      <c r="EF58" s="17"/>
      <c r="EG58" s="17"/>
      <c r="EH58" s="17"/>
      <c r="EI58" s="17"/>
      <c r="EJ58" s="17"/>
      <c r="EK58" s="17"/>
      <c r="EL58" s="17"/>
      <c r="EM58" s="17"/>
      <c r="EN58" s="17"/>
      <c r="EO58" s="17"/>
      <c r="EP58" s="17"/>
      <c r="EQ58" s="17"/>
    </row>
    <row r="59" spans="1:147" s="8" customFormat="1" x14ac:dyDescent="0.25">
      <c r="A59" s="237"/>
      <c r="B59" s="220">
        <v>48</v>
      </c>
      <c r="C59" s="208" t="s">
        <v>2</v>
      </c>
      <c r="D59" s="221" t="s">
        <v>232</v>
      </c>
      <c r="E59" s="240"/>
      <c r="F59" s="41"/>
      <c r="G59" s="41" t="s">
        <v>250</v>
      </c>
      <c r="H59" s="220">
        <v>9</v>
      </c>
      <c r="I59" s="209" t="s">
        <v>15</v>
      </c>
      <c r="J59" s="209"/>
      <c r="K59" s="220"/>
      <c r="L59" s="209"/>
      <c r="M59" s="41" t="s">
        <v>241</v>
      </c>
      <c r="N59" s="261"/>
      <c r="O59" s="223">
        <v>1</v>
      </c>
      <c r="P59" s="261"/>
      <c r="Q59" s="41"/>
      <c r="R59" s="261"/>
      <c r="S59" s="220"/>
      <c r="T59" s="258"/>
      <c r="U59" s="258"/>
      <c r="V59" s="211">
        <v>45888</v>
      </c>
      <c r="W59" s="220"/>
      <c r="X59" s="220"/>
      <c r="Y59" s="220"/>
      <c r="Z59" s="220"/>
      <c r="AA59" s="41"/>
      <c r="AB59" s="41"/>
      <c r="AC59" s="17"/>
      <c r="AD59" s="17"/>
      <c r="AE59" s="17"/>
      <c r="AF59" s="17"/>
      <c r="AG59" s="155">
        <f t="shared" si="4"/>
        <v>0</v>
      </c>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c r="BZ59" s="17"/>
      <c r="CA59" s="17"/>
      <c r="CB59" s="17"/>
      <c r="CC59" s="17"/>
      <c r="CD59" s="17"/>
      <c r="CE59" s="17"/>
      <c r="CF59" s="17"/>
      <c r="CG59" s="17"/>
      <c r="CH59" s="17"/>
      <c r="CI59" s="17"/>
      <c r="CJ59" s="17"/>
      <c r="CK59" s="17"/>
      <c r="CL59" s="17"/>
      <c r="CM59" s="17"/>
      <c r="CN59" s="17"/>
      <c r="CO59" s="17"/>
      <c r="CP59" s="17"/>
      <c r="CQ59" s="17"/>
      <c r="CR59" s="17"/>
      <c r="CS59" s="17"/>
      <c r="CT59" s="17"/>
      <c r="CU59" s="17"/>
      <c r="CV59" s="17"/>
      <c r="CW59" s="17"/>
      <c r="CX59" s="17"/>
      <c r="CY59" s="17"/>
      <c r="CZ59" s="17"/>
      <c r="DA59" s="17"/>
      <c r="DB59" s="17"/>
      <c r="DC59" s="17"/>
      <c r="DD59" s="17"/>
      <c r="DE59" s="17"/>
      <c r="DF59" s="17"/>
      <c r="DG59" s="17"/>
      <c r="DH59" s="17"/>
      <c r="DI59" s="17"/>
      <c r="DJ59" s="17"/>
      <c r="DK59" s="17"/>
      <c r="DL59" s="17"/>
      <c r="DM59" s="17"/>
      <c r="DN59" s="17"/>
      <c r="DO59" s="17"/>
      <c r="DP59" s="17"/>
      <c r="DQ59" s="17"/>
      <c r="DR59" s="17"/>
      <c r="DS59" s="17"/>
      <c r="DT59" s="17"/>
      <c r="DU59" s="17"/>
      <c r="DV59" s="17"/>
      <c r="DW59" s="17"/>
      <c r="DX59" s="17"/>
      <c r="DY59" s="17"/>
      <c r="DZ59" s="17"/>
      <c r="EA59" s="17"/>
      <c r="EB59" s="17"/>
      <c r="EC59" s="17"/>
      <c r="ED59" s="17"/>
      <c r="EE59" s="17"/>
      <c r="EF59" s="17"/>
      <c r="EG59" s="17"/>
      <c r="EH59" s="17"/>
      <c r="EI59" s="17"/>
      <c r="EJ59" s="17"/>
      <c r="EK59" s="17"/>
      <c r="EL59" s="17"/>
      <c r="EM59" s="17"/>
      <c r="EN59" s="17"/>
      <c r="EO59" s="17"/>
      <c r="EP59" s="17"/>
      <c r="EQ59" s="17"/>
    </row>
    <row r="60" spans="1:147" s="8" customFormat="1" x14ac:dyDescent="0.25">
      <c r="A60" s="238"/>
      <c r="B60" s="220">
        <v>49</v>
      </c>
      <c r="C60" s="208" t="s">
        <v>2</v>
      </c>
      <c r="D60" s="221" t="s">
        <v>232</v>
      </c>
      <c r="E60" s="241"/>
      <c r="F60" s="41"/>
      <c r="G60" s="41" t="s">
        <v>251</v>
      </c>
      <c r="H60" s="220">
        <v>10</v>
      </c>
      <c r="I60" s="209" t="s">
        <v>15</v>
      </c>
      <c r="J60" s="209"/>
      <c r="K60" s="220"/>
      <c r="L60" s="209"/>
      <c r="M60" s="41" t="s">
        <v>241</v>
      </c>
      <c r="N60" s="262"/>
      <c r="O60" s="223">
        <v>1</v>
      </c>
      <c r="P60" s="262"/>
      <c r="Q60" s="41"/>
      <c r="R60" s="262"/>
      <c r="S60" s="220"/>
      <c r="T60" s="259"/>
      <c r="U60" s="259"/>
      <c r="V60" s="211">
        <v>45888</v>
      </c>
      <c r="W60" s="220"/>
      <c r="X60" s="220"/>
      <c r="Y60" s="220"/>
      <c r="Z60" s="220"/>
      <c r="AA60" s="41"/>
      <c r="AB60" s="41"/>
      <c r="AC60" s="17"/>
      <c r="AD60" s="17"/>
      <c r="AE60" s="17"/>
      <c r="AF60" s="17"/>
      <c r="AG60" s="155">
        <f t="shared" si="4"/>
        <v>0</v>
      </c>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c r="CF60" s="17"/>
      <c r="CG60" s="17"/>
      <c r="CH60" s="17"/>
      <c r="CI60" s="17"/>
      <c r="CJ60" s="17"/>
      <c r="CK60" s="17"/>
      <c r="CL60" s="17"/>
      <c r="CM60" s="17"/>
      <c r="CN60" s="17"/>
      <c r="CO60" s="17"/>
      <c r="CP60" s="17"/>
      <c r="CQ60" s="17"/>
      <c r="CR60" s="17"/>
      <c r="CS60" s="17"/>
      <c r="CT60" s="17"/>
      <c r="CU60" s="17"/>
      <c r="CV60" s="17"/>
      <c r="CW60" s="17"/>
      <c r="CX60" s="17"/>
      <c r="CY60" s="17"/>
      <c r="CZ60" s="17"/>
      <c r="DA60" s="17"/>
      <c r="DB60" s="17"/>
      <c r="DC60" s="17"/>
      <c r="DD60" s="17"/>
      <c r="DE60" s="17"/>
      <c r="DF60" s="17"/>
      <c r="DG60" s="17"/>
      <c r="DH60" s="17"/>
      <c r="DI60" s="17"/>
      <c r="DJ60" s="17"/>
      <c r="DK60" s="17"/>
      <c r="DL60" s="17"/>
      <c r="DM60" s="17"/>
      <c r="DN60" s="17"/>
      <c r="DO60" s="17"/>
      <c r="DP60" s="17"/>
      <c r="DQ60" s="17"/>
      <c r="DR60" s="17"/>
      <c r="DS60" s="17"/>
      <c r="DT60" s="17"/>
      <c r="DU60" s="17"/>
      <c r="DV60" s="17"/>
      <c r="DW60" s="17"/>
      <c r="DX60" s="17"/>
      <c r="DY60" s="17"/>
      <c r="DZ60" s="17"/>
      <c r="EA60" s="17"/>
      <c r="EB60" s="17"/>
      <c r="EC60" s="17"/>
      <c r="ED60" s="17"/>
      <c r="EE60" s="17"/>
      <c r="EF60" s="17"/>
      <c r="EG60" s="17"/>
      <c r="EH60" s="17"/>
      <c r="EI60" s="17"/>
      <c r="EJ60" s="17"/>
      <c r="EK60" s="17"/>
      <c r="EL60" s="17"/>
      <c r="EM60" s="17"/>
      <c r="EN60" s="17"/>
      <c r="EO60" s="17"/>
      <c r="EP60" s="17"/>
      <c r="EQ60" s="17"/>
    </row>
    <row r="61" spans="1:147" s="8" customFormat="1" x14ac:dyDescent="0.25">
      <c r="A61" s="194">
        <v>32</v>
      </c>
      <c r="B61" s="194">
        <v>50</v>
      </c>
      <c r="C61" s="208" t="s">
        <v>2</v>
      </c>
      <c r="D61" s="195" t="s">
        <v>234</v>
      </c>
      <c r="E61" s="41" t="s">
        <v>235</v>
      </c>
      <c r="F61" s="41" t="s">
        <v>247</v>
      </c>
      <c r="G61" s="41"/>
      <c r="H61" s="194"/>
      <c r="I61" s="209" t="s">
        <v>15</v>
      </c>
      <c r="J61" s="209"/>
      <c r="K61" s="194">
        <v>1</v>
      </c>
      <c r="L61" s="209"/>
      <c r="M61" s="41" t="s">
        <v>203</v>
      </c>
      <c r="N61" s="220">
        <v>1</v>
      </c>
      <c r="O61" s="223">
        <v>1</v>
      </c>
      <c r="P61" s="41"/>
      <c r="Q61" s="41"/>
      <c r="R61" s="41"/>
      <c r="S61" s="220"/>
      <c r="T61" s="212">
        <v>5000</v>
      </c>
      <c r="U61" s="212">
        <v>5000</v>
      </c>
      <c r="V61" s="211">
        <v>45874</v>
      </c>
      <c r="W61" s="194"/>
      <c r="X61" s="194"/>
      <c r="Y61" s="194"/>
      <c r="Z61" s="194"/>
      <c r="AA61" s="41"/>
      <c r="AB61" s="41"/>
      <c r="AC61" s="17"/>
      <c r="AD61" s="17"/>
      <c r="AE61" s="17"/>
      <c r="AF61" s="17"/>
      <c r="AG61" s="155">
        <f t="shared" si="4"/>
        <v>0</v>
      </c>
      <c r="AH61" s="17"/>
      <c r="AI61" s="17"/>
      <c r="AJ61" s="17"/>
      <c r="AK61" s="17"/>
      <c r="AL61" s="17"/>
      <c r="AM61" s="17"/>
      <c r="AN61" s="17"/>
      <c r="AO61" s="17"/>
      <c r="AP61" s="17"/>
      <c r="AQ61" s="17"/>
      <c r="AR61" s="17"/>
      <c r="AS61" s="17"/>
      <c r="AT61" s="17"/>
      <c r="AU61" s="17"/>
      <c r="AV61" s="17"/>
      <c r="AW61" s="17"/>
      <c r="AX61" s="17"/>
      <c r="AY61" s="17"/>
      <c r="AZ61" s="17"/>
      <c r="BA61" s="17"/>
      <c r="BB61" s="17"/>
      <c r="BC61" s="17"/>
      <c r="BD61" s="17"/>
      <c r="BE61" s="17"/>
      <c r="BF61" s="17"/>
      <c r="BG61" s="17"/>
      <c r="BH61" s="17"/>
      <c r="BI61" s="17"/>
      <c r="BJ61" s="17"/>
      <c r="BK61" s="17"/>
      <c r="BL61" s="17"/>
      <c r="BM61" s="17"/>
      <c r="BN61" s="17"/>
      <c r="BO61" s="17"/>
      <c r="BP61" s="17"/>
      <c r="BQ61" s="17"/>
      <c r="BR61" s="17"/>
      <c r="BS61" s="17"/>
      <c r="BT61" s="17"/>
      <c r="BU61" s="17"/>
      <c r="BV61" s="17"/>
      <c r="BW61" s="17"/>
      <c r="BX61" s="17"/>
      <c r="BY61" s="17"/>
      <c r="BZ61" s="17"/>
      <c r="CA61" s="17"/>
      <c r="CB61" s="17"/>
      <c r="CC61" s="17"/>
      <c r="CD61" s="17"/>
      <c r="CE61" s="17"/>
      <c r="CF61" s="17"/>
      <c r="CG61" s="17"/>
      <c r="CH61" s="17"/>
      <c r="CI61" s="17"/>
      <c r="CJ61" s="17"/>
      <c r="CK61" s="17"/>
      <c r="CL61" s="17"/>
      <c r="CM61" s="17"/>
      <c r="CN61" s="17"/>
      <c r="CO61" s="17"/>
      <c r="CP61" s="17"/>
      <c r="CQ61" s="17"/>
      <c r="CR61" s="17"/>
      <c r="CS61" s="17"/>
      <c r="CT61" s="17"/>
      <c r="CU61" s="17"/>
      <c r="CV61" s="17"/>
      <c r="CW61" s="17"/>
      <c r="CX61" s="17"/>
      <c r="CY61" s="17"/>
      <c r="CZ61" s="17"/>
      <c r="DA61" s="17"/>
      <c r="DB61" s="17"/>
      <c r="DC61" s="17"/>
      <c r="DD61" s="17"/>
      <c r="DE61" s="17"/>
      <c r="DF61" s="17"/>
      <c r="DG61" s="17"/>
      <c r="DH61" s="17"/>
      <c r="DI61" s="17"/>
      <c r="DJ61" s="17"/>
      <c r="DK61" s="17"/>
      <c r="DL61" s="17"/>
      <c r="DM61" s="17"/>
      <c r="DN61" s="17"/>
      <c r="DO61" s="17"/>
      <c r="DP61" s="17"/>
      <c r="DQ61" s="17"/>
      <c r="DR61" s="17"/>
      <c r="DS61" s="17"/>
      <c r="DT61" s="17"/>
      <c r="DU61" s="17"/>
      <c r="DV61" s="17"/>
      <c r="DW61" s="17"/>
      <c r="DX61" s="17"/>
      <c r="DY61" s="17"/>
      <c r="DZ61" s="17"/>
      <c r="EA61" s="17"/>
      <c r="EB61" s="17"/>
      <c r="EC61" s="17"/>
      <c r="ED61" s="17"/>
      <c r="EE61" s="17"/>
      <c r="EF61" s="17"/>
      <c r="EG61" s="17"/>
      <c r="EH61" s="17"/>
      <c r="EI61" s="17"/>
      <c r="EJ61" s="17"/>
      <c r="EK61" s="17"/>
      <c r="EL61" s="17"/>
      <c r="EM61" s="17"/>
      <c r="EN61" s="17"/>
      <c r="EO61" s="17"/>
      <c r="EP61" s="17"/>
      <c r="EQ61" s="17"/>
    </row>
    <row r="62" spans="1:147" s="219" customFormat="1" x14ac:dyDescent="0.25">
      <c r="A62" s="231">
        <v>33</v>
      </c>
      <c r="B62" s="76">
        <v>51</v>
      </c>
      <c r="C62" s="213" t="s">
        <v>23</v>
      </c>
      <c r="D62" s="214" t="s">
        <v>238</v>
      </c>
      <c r="E62" s="215" t="s">
        <v>233</v>
      </c>
      <c r="F62" s="215" t="s">
        <v>239</v>
      </c>
      <c r="G62" s="215"/>
      <c r="H62" s="76"/>
      <c r="I62" s="216" t="s">
        <v>15</v>
      </c>
      <c r="J62" s="217">
        <v>45867</v>
      </c>
      <c r="K62" s="76">
        <v>1</v>
      </c>
      <c r="L62" s="216"/>
      <c r="M62" s="215" t="s">
        <v>62</v>
      </c>
      <c r="N62" s="215"/>
      <c r="O62" s="215"/>
      <c r="P62" s="215"/>
      <c r="Q62" s="215"/>
      <c r="R62" s="76">
        <v>1</v>
      </c>
      <c r="S62" s="76">
        <v>1</v>
      </c>
      <c r="T62" s="193">
        <v>5000</v>
      </c>
      <c r="U62" s="215"/>
      <c r="V62" s="215"/>
      <c r="W62" s="76"/>
      <c r="X62" s="76"/>
      <c r="Y62" s="76"/>
      <c r="Z62" s="76"/>
      <c r="AA62" s="215"/>
      <c r="AB62" s="215"/>
      <c r="AC62" s="218"/>
      <c r="AD62" s="218"/>
      <c r="AE62" s="218"/>
      <c r="AF62" s="218"/>
      <c r="AG62" s="155">
        <f t="shared" si="4"/>
        <v>0</v>
      </c>
      <c r="AH62" s="218"/>
      <c r="AI62" s="218"/>
      <c r="AJ62" s="218"/>
      <c r="AK62" s="218"/>
      <c r="AL62" s="218"/>
      <c r="AM62" s="218"/>
      <c r="AN62" s="218"/>
      <c r="AO62" s="218"/>
      <c r="AP62" s="218"/>
      <c r="AQ62" s="218"/>
      <c r="AR62" s="218"/>
      <c r="AS62" s="218"/>
      <c r="AT62" s="218"/>
      <c r="AU62" s="218"/>
      <c r="AV62" s="218"/>
      <c r="AW62" s="218"/>
      <c r="AX62" s="218"/>
      <c r="AY62" s="218"/>
      <c r="AZ62" s="218"/>
      <c r="BA62" s="218"/>
      <c r="BB62" s="218"/>
      <c r="BC62" s="218"/>
      <c r="BD62" s="218"/>
      <c r="BE62" s="218"/>
      <c r="BF62" s="218"/>
      <c r="BG62" s="218"/>
      <c r="BH62" s="218"/>
      <c r="BI62" s="218"/>
      <c r="BJ62" s="218"/>
      <c r="BK62" s="218"/>
      <c r="BL62" s="218"/>
      <c r="BM62" s="218"/>
      <c r="BN62" s="218"/>
      <c r="BO62" s="218"/>
      <c r="BP62" s="218"/>
      <c r="BQ62" s="218"/>
      <c r="BR62" s="218"/>
      <c r="BS62" s="218"/>
      <c r="BT62" s="218"/>
      <c r="BU62" s="218"/>
      <c r="BV62" s="218"/>
      <c r="BW62" s="218"/>
      <c r="BX62" s="218"/>
      <c r="BY62" s="218"/>
      <c r="BZ62" s="218"/>
      <c r="CA62" s="218"/>
      <c r="CB62" s="218"/>
      <c r="CC62" s="218"/>
      <c r="CD62" s="218"/>
      <c r="CE62" s="218"/>
      <c r="CF62" s="218"/>
      <c r="CG62" s="218"/>
      <c r="CH62" s="218"/>
      <c r="CI62" s="218"/>
      <c r="CJ62" s="218"/>
      <c r="CK62" s="218"/>
      <c r="CL62" s="218"/>
      <c r="CM62" s="218"/>
      <c r="CN62" s="218"/>
      <c r="CO62" s="218"/>
      <c r="CP62" s="218"/>
      <c r="CQ62" s="218"/>
      <c r="CR62" s="218"/>
      <c r="CS62" s="218"/>
      <c r="CT62" s="218"/>
      <c r="CU62" s="218"/>
      <c r="CV62" s="218"/>
      <c r="CW62" s="218"/>
      <c r="CX62" s="218"/>
      <c r="CY62" s="218"/>
      <c r="CZ62" s="218"/>
      <c r="DA62" s="218"/>
      <c r="DB62" s="218"/>
      <c r="DC62" s="218"/>
      <c r="DD62" s="218"/>
      <c r="DE62" s="218"/>
      <c r="DF62" s="218"/>
      <c r="DG62" s="218"/>
      <c r="DH62" s="218"/>
      <c r="DI62" s="218"/>
      <c r="DJ62" s="218"/>
      <c r="DK62" s="218"/>
      <c r="DL62" s="218"/>
      <c r="DM62" s="218"/>
      <c r="DN62" s="218"/>
      <c r="DO62" s="218"/>
      <c r="DP62" s="218"/>
      <c r="DQ62" s="218"/>
      <c r="DR62" s="218"/>
      <c r="DS62" s="218"/>
      <c r="DT62" s="218"/>
      <c r="DU62" s="218"/>
      <c r="DV62" s="218"/>
      <c r="DW62" s="218"/>
      <c r="DX62" s="218"/>
      <c r="DY62" s="218"/>
      <c r="DZ62" s="218"/>
      <c r="EA62" s="218"/>
      <c r="EB62" s="218"/>
      <c r="EC62" s="218"/>
      <c r="ED62" s="218"/>
      <c r="EE62" s="218"/>
      <c r="EF62" s="218"/>
      <c r="EG62" s="218"/>
      <c r="EH62" s="218"/>
      <c r="EI62" s="218"/>
      <c r="EJ62" s="218"/>
      <c r="EK62" s="218"/>
      <c r="EL62" s="218"/>
      <c r="EM62" s="218"/>
      <c r="EN62" s="218"/>
      <c r="EO62" s="218"/>
      <c r="EP62" s="218"/>
      <c r="EQ62" s="218"/>
    </row>
    <row r="63" spans="1:147" s="8" customFormat="1" x14ac:dyDescent="0.25">
      <c r="A63" s="277">
        <v>34</v>
      </c>
      <c r="B63" s="223">
        <v>52</v>
      </c>
      <c r="C63" s="208" t="s">
        <v>2</v>
      </c>
      <c r="D63" s="224" t="s">
        <v>242</v>
      </c>
      <c r="E63" s="41" t="s">
        <v>207</v>
      </c>
      <c r="F63" s="41" t="s">
        <v>64</v>
      </c>
      <c r="G63" s="227" t="s">
        <v>252</v>
      </c>
      <c r="H63" s="223">
        <v>9</v>
      </c>
      <c r="I63" s="209" t="s">
        <v>15</v>
      </c>
      <c r="J63" s="210">
        <v>45868</v>
      </c>
      <c r="K63" s="223">
        <v>1</v>
      </c>
      <c r="L63" s="209"/>
      <c r="M63" s="41" t="s">
        <v>203</v>
      </c>
      <c r="N63" s="260">
        <v>1</v>
      </c>
      <c r="O63" s="223">
        <v>1</v>
      </c>
      <c r="P63" s="260"/>
      <c r="Q63" s="226"/>
      <c r="R63" s="260"/>
      <c r="S63" s="223"/>
      <c r="T63" s="257">
        <v>6800</v>
      </c>
      <c r="U63" s="212">
        <v>5000</v>
      </c>
      <c r="V63" s="211">
        <v>45891</v>
      </c>
      <c r="W63" s="223"/>
      <c r="X63" s="223"/>
      <c r="Y63" s="223"/>
      <c r="Z63" s="223"/>
      <c r="AA63" s="41"/>
      <c r="AB63" s="41"/>
      <c r="AC63" s="17"/>
      <c r="AD63" s="17"/>
      <c r="AE63" s="17"/>
      <c r="AF63" s="17"/>
      <c r="AG63" s="155">
        <f t="shared" si="4"/>
        <v>0</v>
      </c>
      <c r="AH63" s="17"/>
      <c r="AI63" s="17"/>
      <c r="AJ63" s="17"/>
      <c r="AK63" s="17"/>
      <c r="AL63" s="17"/>
      <c r="AM63" s="17"/>
      <c r="AN63" s="17"/>
      <c r="AO63" s="17"/>
      <c r="AP63" s="17"/>
      <c r="AQ63" s="17"/>
      <c r="AR63" s="17"/>
      <c r="AS63" s="17"/>
      <c r="AT63" s="17"/>
      <c r="AU63" s="17"/>
      <c r="AV63" s="17"/>
      <c r="AW63" s="17"/>
      <c r="AX63" s="17"/>
      <c r="AY63" s="17"/>
      <c r="AZ63" s="17"/>
      <c r="BA63" s="17"/>
      <c r="BB63" s="17"/>
      <c r="BC63" s="17"/>
      <c r="BD63" s="17"/>
      <c r="BE63" s="17"/>
      <c r="BF63" s="17"/>
      <c r="BG63" s="17"/>
      <c r="BH63" s="17"/>
      <c r="BI63" s="17"/>
      <c r="BJ63" s="17"/>
      <c r="BK63" s="17"/>
      <c r="BL63" s="17"/>
      <c r="BM63" s="17"/>
      <c r="BN63" s="17"/>
      <c r="BO63" s="17"/>
      <c r="BP63" s="17"/>
      <c r="BQ63" s="17"/>
      <c r="BR63" s="17"/>
      <c r="BS63" s="17"/>
      <c r="BT63" s="17"/>
      <c r="BU63" s="17"/>
      <c r="BV63" s="17"/>
      <c r="BW63" s="17"/>
      <c r="BX63" s="17"/>
      <c r="BY63" s="17"/>
      <c r="BZ63" s="17"/>
      <c r="CA63" s="17"/>
      <c r="CB63" s="17"/>
      <c r="CC63" s="17"/>
      <c r="CD63" s="17"/>
      <c r="CE63" s="17"/>
      <c r="CF63" s="17"/>
      <c r="CG63" s="17"/>
      <c r="CH63" s="17"/>
      <c r="CI63" s="17"/>
      <c r="CJ63" s="17"/>
      <c r="CK63" s="17"/>
      <c r="CL63" s="17"/>
      <c r="CM63" s="17"/>
      <c r="CN63" s="17"/>
      <c r="CO63" s="17"/>
      <c r="CP63" s="17"/>
      <c r="CQ63" s="17"/>
      <c r="CR63" s="17"/>
      <c r="CS63" s="17"/>
      <c r="CT63" s="17"/>
      <c r="CU63" s="17"/>
      <c r="CV63" s="17"/>
      <c r="CW63" s="17"/>
      <c r="CX63" s="17"/>
      <c r="CY63" s="17"/>
      <c r="CZ63" s="17"/>
      <c r="DA63" s="17"/>
      <c r="DB63" s="17"/>
      <c r="DC63" s="17"/>
      <c r="DD63" s="17"/>
      <c r="DE63" s="17"/>
      <c r="DF63" s="17"/>
      <c r="DG63" s="17"/>
      <c r="DH63" s="17"/>
      <c r="DI63" s="17"/>
      <c r="DJ63" s="17"/>
      <c r="DK63" s="17"/>
      <c r="DL63" s="17"/>
      <c r="DM63" s="17"/>
      <c r="DN63" s="17"/>
      <c r="DO63" s="17"/>
      <c r="DP63" s="17"/>
      <c r="DQ63" s="17"/>
      <c r="DR63" s="17"/>
      <c r="DS63" s="17"/>
      <c r="DT63" s="17"/>
      <c r="DU63" s="17"/>
      <c r="DV63" s="17"/>
      <c r="DW63" s="17"/>
      <c r="DX63" s="17"/>
      <c r="DY63" s="17"/>
      <c r="DZ63" s="17"/>
      <c r="EA63" s="17"/>
      <c r="EB63" s="17"/>
      <c r="EC63" s="17"/>
      <c r="ED63" s="17"/>
      <c r="EE63" s="17"/>
      <c r="EF63" s="17"/>
      <c r="EG63" s="17"/>
      <c r="EH63" s="17"/>
      <c r="EI63" s="17"/>
      <c r="EJ63" s="17"/>
      <c r="EK63" s="17"/>
      <c r="EL63" s="17"/>
      <c r="EM63" s="17"/>
      <c r="EN63" s="17"/>
      <c r="EO63" s="17"/>
      <c r="EP63" s="17"/>
      <c r="EQ63" s="17"/>
    </row>
    <row r="64" spans="1:147" s="155" customFormat="1" x14ac:dyDescent="0.25">
      <c r="A64" s="277"/>
      <c r="B64" s="147">
        <v>53</v>
      </c>
      <c r="C64" s="148" t="s">
        <v>2</v>
      </c>
      <c r="D64" s="149" t="s">
        <v>242</v>
      </c>
      <c r="E64" s="150" t="s">
        <v>207</v>
      </c>
      <c r="F64" s="150" t="s">
        <v>64</v>
      </c>
      <c r="G64" s="184" t="s">
        <v>253</v>
      </c>
      <c r="H64" s="147">
        <v>7</v>
      </c>
      <c r="I64" s="151" t="s">
        <v>35</v>
      </c>
      <c r="J64" s="152">
        <v>45868</v>
      </c>
      <c r="K64" s="147"/>
      <c r="L64" s="151"/>
      <c r="M64" s="150" t="s">
        <v>54</v>
      </c>
      <c r="N64" s="261"/>
      <c r="O64" s="147"/>
      <c r="P64" s="261"/>
      <c r="Q64" s="147">
        <v>1</v>
      </c>
      <c r="R64" s="261"/>
      <c r="S64" s="147"/>
      <c r="T64" s="258"/>
      <c r="U64" s="257">
        <v>1800</v>
      </c>
      <c r="V64" s="154">
        <v>45891</v>
      </c>
      <c r="W64" s="162">
        <f t="shared" ref="W64:W65" si="26">Z64-(MAX(V64,J64))</f>
        <v>3</v>
      </c>
      <c r="X64" s="147">
        <f t="shared" ref="X64:X65" si="27">Z64-J64</f>
        <v>26</v>
      </c>
      <c r="Y64" s="147" t="str">
        <f t="shared" ref="Y64:Y65" si="28">IF(W64&lt;30,"Dans les délais","Hors délais")</f>
        <v>Dans les délais</v>
      </c>
      <c r="Z64" s="160">
        <v>45894</v>
      </c>
      <c r="AA64" s="150"/>
      <c r="AB64" s="150"/>
      <c r="AG64" s="155">
        <f t="shared" si="4"/>
        <v>1</v>
      </c>
    </row>
    <row r="65" spans="1:147" s="155" customFormat="1" x14ac:dyDescent="0.25">
      <c r="A65" s="277"/>
      <c r="B65" s="147">
        <v>54</v>
      </c>
      <c r="C65" s="148" t="s">
        <v>2</v>
      </c>
      <c r="D65" s="149" t="s">
        <v>242</v>
      </c>
      <c r="E65" s="150" t="s">
        <v>207</v>
      </c>
      <c r="F65" s="150" t="s">
        <v>64</v>
      </c>
      <c r="G65" s="184" t="s">
        <v>179</v>
      </c>
      <c r="H65" s="147">
        <v>7</v>
      </c>
      <c r="I65" s="151" t="s">
        <v>35</v>
      </c>
      <c r="J65" s="152">
        <v>45868</v>
      </c>
      <c r="K65" s="147"/>
      <c r="L65" s="151"/>
      <c r="M65" s="150" t="s">
        <v>54</v>
      </c>
      <c r="N65" s="261"/>
      <c r="O65" s="147"/>
      <c r="P65" s="261"/>
      <c r="Q65" s="147">
        <v>1</v>
      </c>
      <c r="R65" s="261"/>
      <c r="S65" s="147"/>
      <c r="T65" s="258"/>
      <c r="U65" s="258"/>
      <c r="V65" s="154">
        <v>45891</v>
      </c>
      <c r="W65" s="162">
        <f t="shared" si="26"/>
        <v>3</v>
      </c>
      <c r="X65" s="147">
        <f t="shared" si="27"/>
        <v>26</v>
      </c>
      <c r="Y65" s="147" t="str">
        <f t="shared" si="28"/>
        <v>Dans les délais</v>
      </c>
      <c r="Z65" s="160">
        <v>45894</v>
      </c>
      <c r="AA65" s="150"/>
      <c r="AB65" s="150"/>
      <c r="AG65" s="155">
        <f t="shared" si="4"/>
        <v>1</v>
      </c>
    </row>
    <row r="66" spans="1:147" s="155" customFormat="1" x14ac:dyDescent="0.25">
      <c r="A66" s="277"/>
      <c r="B66" s="147">
        <v>55</v>
      </c>
      <c r="C66" s="148" t="s">
        <v>2</v>
      </c>
      <c r="D66" s="149" t="s">
        <v>242</v>
      </c>
      <c r="E66" s="150" t="s">
        <v>207</v>
      </c>
      <c r="F66" s="150" t="s">
        <v>64</v>
      </c>
      <c r="G66" s="184" t="s">
        <v>196</v>
      </c>
      <c r="H66" s="147">
        <v>8</v>
      </c>
      <c r="I66" s="151" t="s">
        <v>35</v>
      </c>
      <c r="J66" s="152">
        <v>45868</v>
      </c>
      <c r="K66" s="147"/>
      <c r="L66" s="151"/>
      <c r="M66" s="150" t="s">
        <v>54</v>
      </c>
      <c r="N66" s="262"/>
      <c r="O66" s="147"/>
      <c r="P66" s="262"/>
      <c r="Q66" s="147">
        <v>1</v>
      </c>
      <c r="R66" s="262"/>
      <c r="S66" s="147"/>
      <c r="T66" s="259"/>
      <c r="U66" s="259"/>
      <c r="V66" s="154">
        <v>45891</v>
      </c>
      <c r="W66" s="162">
        <f t="shared" ref="W66" si="29">Z66-(MAX(V66,J66))</f>
        <v>4</v>
      </c>
      <c r="X66" s="147">
        <f t="shared" ref="X66" si="30">Z66-J66</f>
        <v>27</v>
      </c>
      <c r="Y66" s="147" t="str">
        <f t="shared" ref="Y66" si="31">IF(W66&lt;30,"Dans les délais","Hors délais")</f>
        <v>Dans les délais</v>
      </c>
      <c r="Z66" s="160">
        <v>45895</v>
      </c>
      <c r="AA66" s="150"/>
      <c r="AB66" s="150"/>
      <c r="AG66" s="155">
        <f t="shared" si="4"/>
        <v>1</v>
      </c>
    </row>
    <row r="67" spans="1:147" s="8" customFormat="1" x14ac:dyDescent="0.25">
      <c r="A67" s="46">
        <v>35</v>
      </c>
      <c r="B67" s="228">
        <v>56</v>
      </c>
      <c r="C67" s="208" t="s">
        <v>2</v>
      </c>
      <c r="D67" s="229" t="s">
        <v>243</v>
      </c>
      <c r="E67" s="41" t="s">
        <v>244</v>
      </c>
      <c r="F67" s="41" t="s">
        <v>177</v>
      </c>
      <c r="G67" s="41"/>
      <c r="H67" s="228">
        <v>9</v>
      </c>
      <c r="I67" s="209" t="s">
        <v>35</v>
      </c>
      <c r="J67" s="210">
        <v>45876</v>
      </c>
      <c r="K67" s="228">
        <v>1</v>
      </c>
      <c r="L67" s="209"/>
      <c r="M67" s="41" t="s">
        <v>62</v>
      </c>
      <c r="N67" s="228">
        <v>1</v>
      </c>
      <c r="O67" s="228">
        <v>1</v>
      </c>
      <c r="P67" s="228"/>
      <c r="Q67" s="41"/>
      <c r="R67" s="228"/>
      <c r="S67" s="228"/>
      <c r="T67" s="230">
        <v>600</v>
      </c>
      <c r="U67" s="212">
        <v>600</v>
      </c>
      <c r="V67" s="211">
        <v>45898</v>
      </c>
      <c r="W67" s="228"/>
      <c r="X67" s="228"/>
      <c r="Y67" s="228"/>
      <c r="Z67" s="228"/>
      <c r="AA67" s="41"/>
      <c r="AB67" s="41"/>
      <c r="AC67" s="17"/>
      <c r="AD67" s="17"/>
      <c r="AE67" s="17"/>
      <c r="AF67" s="17"/>
      <c r="AG67" s="155">
        <f t="shared" si="4"/>
        <v>0</v>
      </c>
      <c r="AH67" s="17"/>
      <c r="AI67" s="17"/>
      <c r="AJ67" s="17"/>
      <c r="AK67" s="17"/>
      <c r="AL67" s="17"/>
      <c r="AM67" s="17"/>
      <c r="AN67" s="17"/>
      <c r="AO67" s="17"/>
      <c r="AP67" s="17"/>
      <c r="AQ67" s="17"/>
      <c r="AR67" s="17"/>
      <c r="AS67" s="17"/>
      <c r="AT67" s="17"/>
      <c r="AU67" s="17"/>
      <c r="AV67" s="17"/>
      <c r="AW67" s="17"/>
      <c r="AX67" s="17"/>
      <c r="AY67" s="17"/>
      <c r="AZ67" s="17"/>
      <c r="BA67" s="17"/>
      <c r="BB67" s="17"/>
      <c r="BC67" s="17"/>
      <c r="BD67" s="17"/>
      <c r="BE67" s="17"/>
      <c r="BF67" s="17"/>
      <c r="BG67" s="17"/>
      <c r="BH67" s="17"/>
      <c r="BI67" s="17"/>
      <c r="BJ67" s="17"/>
      <c r="BK67" s="17"/>
      <c r="BL67" s="17"/>
      <c r="BM67" s="17"/>
      <c r="BN67" s="17"/>
      <c r="BO67" s="17"/>
      <c r="BP67" s="17"/>
      <c r="BQ67" s="17"/>
      <c r="BR67" s="17"/>
      <c r="BS67" s="17"/>
      <c r="BT67" s="17"/>
      <c r="BU67" s="17"/>
      <c r="BV67" s="17"/>
      <c r="BW67" s="17"/>
      <c r="BX67" s="17"/>
      <c r="BY67" s="17"/>
      <c r="BZ67" s="17"/>
      <c r="CA67" s="17"/>
      <c r="CB67" s="17"/>
      <c r="CC67" s="17"/>
      <c r="CD67" s="17"/>
      <c r="CE67" s="17"/>
      <c r="CF67" s="17"/>
      <c r="CG67" s="17"/>
      <c r="CH67" s="17"/>
      <c r="CI67" s="17"/>
      <c r="CJ67" s="17"/>
      <c r="CK67" s="17"/>
      <c r="CL67" s="17"/>
      <c r="CM67" s="17"/>
      <c r="CN67" s="17"/>
      <c r="CO67" s="17"/>
      <c r="CP67" s="17"/>
      <c r="CQ67" s="17"/>
      <c r="CR67" s="17"/>
      <c r="CS67" s="17"/>
      <c r="CT67" s="17"/>
      <c r="CU67" s="17"/>
      <c r="CV67" s="17"/>
      <c r="CW67" s="17"/>
      <c r="CX67" s="17"/>
      <c r="CY67" s="17"/>
      <c r="CZ67" s="17"/>
      <c r="DA67" s="17"/>
      <c r="DB67" s="17"/>
      <c r="DC67" s="17"/>
      <c r="DD67" s="17"/>
      <c r="DE67" s="17"/>
      <c r="DF67" s="17"/>
      <c r="DG67" s="17"/>
      <c r="DH67" s="17"/>
      <c r="DI67" s="17"/>
      <c r="DJ67" s="17"/>
      <c r="DK67" s="17"/>
      <c r="DL67" s="17"/>
      <c r="DM67" s="17"/>
      <c r="DN67" s="17"/>
      <c r="DO67" s="17"/>
      <c r="DP67" s="17"/>
      <c r="DQ67" s="17"/>
      <c r="DR67" s="17"/>
      <c r="DS67" s="17"/>
      <c r="DT67" s="17"/>
      <c r="DU67" s="17"/>
      <c r="DV67" s="17"/>
      <c r="DW67" s="17"/>
      <c r="DX67" s="17"/>
      <c r="DY67" s="17"/>
      <c r="DZ67" s="17"/>
      <c r="EA67" s="17"/>
      <c r="EB67" s="17"/>
      <c r="EC67" s="17"/>
      <c r="ED67" s="17"/>
      <c r="EE67" s="17"/>
      <c r="EF67" s="17"/>
      <c r="EG67" s="17"/>
      <c r="EH67" s="17"/>
      <c r="EI67" s="17"/>
      <c r="EJ67" s="17"/>
      <c r="EK67" s="17"/>
      <c r="EL67" s="17"/>
      <c r="EM67" s="17"/>
      <c r="EN67" s="17"/>
      <c r="EO67" s="17"/>
      <c r="EP67" s="17"/>
      <c r="EQ67" s="17"/>
    </row>
    <row r="68" spans="1:147" s="155" customFormat="1" x14ac:dyDescent="0.25">
      <c r="A68" s="260">
        <v>36</v>
      </c>
      <c r="B68" s="147">
        <v>57</v>
      </c>
      <c r="C68" s="148" t="s">
        <v>2</v>
      </c>
      <c r="D68" s="149" t="s">
        <v>246</v>
      </c>
      <c r="E68" s="245" t="s">
        <v>233</v>
      </c>
      <c r="F68" s="150" t="s">
        <v>245</v>
      </c>
      <c r="G68" s="150" t="s">
        <v>279</v>
      </c>
      <c r="H68" s="147">
        <v>9</v>
      </c>
      <c r="I68" s="151" t="s">
        <v>35</v>
      </c>
      <c r="J68" s="152">
        <v>45877</v>
      </c>
      <c r="K68" s="147"/>
      <c r="L68" s="151"/>
      <c r="M68" s="150" t="s">
        <v>280</v>
      </c>
      <c r="N68" s="260"/>
      <c r="O68" s="147"/>
      <c r="P68" s="260">
        <v>1</v>
      </c>
      <c r="Q68" s="147">
        <v>1</v>
      </c>
      <c r="R68" s="260"/>
      <c r="S68" s="147"/>
      <c r="T68" s="257">
        <v>4200</v>
      </c>
      <c r="U68" s="257">
        <v>4200</v>
      </c>
      <c r="V68" s="154">
        <v>45887</v>
      </c>
      <c r="W68" s="162">
        <f t="shared" ref="W68" si="32">Z68-(MAX(V68,J68))</f>
        <v>16</v>
      </c>
      <c r="X68" s="147">
        <f t="shared" ref="X68" si="33">Z68-J68</f>
        <v>26</v>
      </c>
      <c r="Y68" s="147" t="str">
        <f t="shared" ref="Y68" si="34">IF(W68&lt;30,"Dans les délais","Hors délais")</f>
        <v>Dans les délais</v>
      </c>
      <c r="Z68" s="160">
        <v>45903</v>
      </c>
      <c r="AA68" s="150"/>
      <c r="AB68" s="150"/>
      <c r="AG68" s="155">
        <f t="shared" si="4"/>
        <v>1</v>
      </c>
    </row>
    <row r="69" spans="1:147" s="155" customFormat="1" x14ac:dyDescent="0.25">
      <c r="A69" s="261"/>
      <c r="B69" s="147">
        <v>58</v>
      </c>
      <c r="C69" s="148" t="s">
        <v>2</v>
      </c>
      <c r="D69" s="149" t="s">
        <v>246</v>
      </c>
      <c r="E69" s="246"/>
      <c r="F69" s="150" t="s">
        <v>245</v>
      </c>
      <c r="G69" s="150" t="s">
        <v>260</v>
      </c>
      <c r="H69" s="147">
        <v>9</v>
      </c>
      <c r="I69" s="151" t="s">
        <v>35</v>
      </c>
      <c r="J69" s="152">
        <v>45877</v>
      </c>
      <c r="K69" s="147"/>
      <c r="L69" s="151"/>
      <c r="M69" s="150" t="s">
        <v>266</v>
      </c>
      <c r="N69" s="261"/>
      <c r="O69" s="147"/>
      <c r="P69" s="261"/>
      <c r="Q69" s="147">
        <v>1</v>
      </c>
      <c r="R69" s="261"/>
      <c r="S69" s="147"/>
      <c r="T69" s="258"/>
      <c r="U69" s="258"/>
      <c r="V69" s="154">
        <v>45887</v>
      </c>
      <c r="W69" s="162">
        <f t="shared" ref="W69" si="35">Z69-(MAX(V69,J69))</f>
        <v>14</v>
      </c>
      <c r="X69" s="147">
        <f t="shared" ref="X69" si="36">Z69-J69</f>
        <v>24</v>
      </c>
      <c r="Y69" s="147" t="str">
        <f t="shared" ref="Y69" si="37">IF(W69&lt;30,"Dans les délais","Hors délais")</f>
        <v>Dans les délais</v>
      </c>
      <c r="Z69" s="160">
        <v>45901</v>
      </c>
      <c r="AA69" s="150"/>
      <c r="AB69" s="150"/>
      <c r="AG69" s="155">
        <f t="shared" si="4"/>
        <v>1</v>
      </c>
    </row>
    <row r="70" spans="1:147" s="155" customFormat="1" x14ac:dyDescent="0.25">
      <c r="A70" s="261"/>
      <c r="B70" s="147">
        <v>59</v>
      </c>
      <c r="C70" s="148" t="s">
        <v>2</v>
      </c>
      <c r="D70" s="149" t="s">
        <v>246</v>
      </c>
      <c r="E70" s="246"/>
      <c r="F70" s="150" t="s">
        <v>245</v>
      </c>
      <c r="G70" s="150" t="s">
        <v>281</v>
      </c>
      <c r="H70" s="147">
        <v>9</v>
      </c>
      <c r="I70" s="151" t="s">
        <v>35</v>
      </c>
      <c r="J70" s="152">
        <v>45877</v>
      </c>
      <c r="K70" s="147"/>
      <c r="L70" s="151"/>
      <c r="M70" s="150" t="s">
        <v>280</v>
      </c>
      <c r="N70" s="261"/>
      <c r="O70" s="147"/>
      <c r="P70" s="261"/>
      <c r="Q70" s="147">
        <v>1</v>
      </c>
      <c r="R70" s="261"/>
      <c r="S70" s="147"/>
      <c r="T70" s="258"/>
      <c r="U70" s="258"/>
      <c r="V70" s="154">
        <v>45887</v>
      </c>
      <c r="W70" s="162">
        <f t="shared" ref="W70:W71" si="38">Z70-(MAX(V70,J70))</f>
        <v>16</v>
      </c>
      <c r="X70" s="147">
        <f t="shared" ref="X70:X71" si="39">Z70-J70</f>
        <v>26</v>
      </c>
      <c r="Y70" s="147" t="str">
        <f t="shared" ref="Y70:Y71" si="40">IF(W70&lt;30,"Dans les délais","Hors délais")</f>
        <v>Dans les délais</v>
      </c>
      <c r="Z70" s="160">
        <v>45903</v>
      </c>
      <c r="AA70" s="150"/>
      <c r="AB70" s="150"/>
      <c r="AG70" s="155">
        <f t="shared" si="4"/>
        <v>1</v>
      </c>
    </row>
    <row r="71" spans="1:147" s="155" customFormat="1" x14ac:dyDescent="0.25">
      <c r="A71" s="261"/>
      <c r="B71" s="147">
        <v>60</v>
      </c>
      <c r="C71" s="148" t="s">
        <v>2</v>
      </c>
      <c r="D71" s="149" t="s">
        <v>246</v>
      </c>
      <c r="E71" s="246"/>
      <c r="F71" s="150" t="s">
        <v>245</v>
      </c>
      <c r="G71" s="150" t="s">
        <v>254</v>
      </c>
      <c r="H71" s="147">
        <v>8</v>
      </c>
      <c r="I71" s="151" t="s">
        <v>35</v>
      </c>
      <c r="J71" s="152">
        <v>45877</v>
      </c>
      <c r="K71" s="147"/>
      <c r="L71" s="151"/>
      <c r="M71" s="150" t="s">
        <v>280</v>
      </c>
      <c r="N71" s="261"/>
      <c r="O71" s="147"/>
      <c r="P71" s="261"/>
      <c r="Q71" s="147">
        <v>1</v>
      </c>
      <c r="R71" s="261"/>
      <c r="S71" s="147"/>
      <c r="T71" s="258"/>
      <c r="U71" s="258"/>
      <c r="V71" s="154">
        <v>45887</v>
      </c>
      <c r="W71" s="162">
        <f t="shared" si="38"/>
        <v>16</v>
      </c>
      <c r="X71" s="147">
        <f t="shared" si="39"/>
        <v>26</v>
      </c>
      <c r="Y71" s="147" t="str">
        <f t="shared" si="40"/>
        <v>Dans les délais</v>
      </c>
      <c r="Z71" s="160">
        <v>45903</v>
      </c>
      <c r="AA71" s="150"/>
      <c r="AB71" s="150"/>
      <c r="AG71" s="155">
        <f t="shared" si="4"/>
        <v>1</v>
      </c>
    </row>
    <row r="72" spans="1:147" s="155" customFormat="1" x14ac:dyDescent="0.25">
      <c r="A72" s="261"/>
      <c r="B72" s="147">
        <v>61</v>
      </c>
      <c r="C72" s="148" t="s">
        <v>2</v>
      </c>
      <c r="D72" s="149" t="s">
        <v>246</v>
      </c>
      <c r="E72" s="246"/>
      <c r="F72" s="150" t="s">
        <v>245</v>
      </c>
      <c r="G72" s="150" t="s">
        <v>264</v>
      </c>
      <c r="H72" s="147">
        <v>7</v>
      </c>
      <c r="I72" s="151" t="s">
        <v>35</v>
      </c>
      <c r="J72" s="152">
        <v>45877</v>
      </c>
      <c r="K72" s="147"/>
      <c r="L72" s="151"/>
      <c r="M72" s="150" t="s">
        <v>266</v>
      </c>
      <c r="N72" s="261"/>
      <c r="O72" s="147"/>
      <c r="P72" s="261"/>
      <c r="Q72" s="147">
        <v>1</v>
      </c>
      <c r="R72" s="261"/>
      <c r="S72" s="147"/>
      <c r="T72" s="258"/>
      <c r="U72" s="258"/>
      <c r="V72" s="154">
        <v>45887</v>
      </c>
      <c r="W72" s="162">
        <f t="shared" ref="W72" si="41">Z72-(MAX(V72,J72))</f>
        <v>15</v>
      </c>
      <c r="X72" s="147">
        <f t="shared" ref="X72" si="42">Z72-J72</f>
        <v>25</v>
      </c>
      <c r="Y72" s="147" t="str">
        <f t="shared" ref="Y72" si="43">IF(W72&lt;30,"Dans les délais","Hors délais")</f>
        <v>Dans les délais</v>
      </c>
      <c r="Z72" s="160">
        <v>45902</v>
      </c>
      <c r="AA72" s="150"/>
      <c r="AB72" s="150"/>
      <c r="AG72" s="155">
        <f t="shared" si="4"/>
        <v>1</v>
      </c>
    </row>
    <row r="73" spans="1:147" s="155" customFormat="1" x14ac:dyDescent="0.25">
      <c r="A73" s="261"/>
      <c r="B73" s="147">
        <v>62</v>
      </c>
      <c r="C73" s="148" t="s">
        <v>2</v>
      </c>
      <c r="D73" s="149" t="s">
        <v>246</v>
      </c>
      <c r="E73" s="246"/>
      <c r="F73" s="150" t="s">
        <v>245</v>
      </c>
      <c r="G73" s="150" t="s">
        <v>267</v>
      </c>
      <c r="H73" s="147">
        <v>7</v>
      </c>
      <c r="I73" s="151" t="s">
        <v>35</v>
      </c>
      <c r="J73" s="152">
        <v>45877</v>
      </c>
      <c r="K73" s="147"/>
      <c r="L73" s="151"/>
      <c r="M73" s="150" t="s">
        <v>266</v>
      </c>
      <c r="N73" s="261"/>
      <c r="O73" s="147"/>
      <c r="P73" s="261"/>
      <c r="Q73" s="147">
        <v>1</v>
      </c>
      <c r="R73" s="261"/>
      <c r="S73" s="147"/>
      <c r="T73" s="258"/>
      <c r="U73" s="258"/>
      <c r="V73" s="154">
        <v>45887</v>
      </c>
      <c r="W73" s="162">
        <f t="shared" ref="W73" si="44">Z73-(MAX(V73,J73))</f>
        <v>14</v>
      </c>
      <c r="X73" s="147">
        <f t="shared" ref="X73" si="45">Z73-J73</f>
        <v>24</v>
      </c>
      <c r="Y73" s="147" t="str">
        <f t="shared" ref="Y73" si="46">IF(W73&lt;30,"Dans les délais","Hors délais")</f>
        <v>Dans les délais</v>
      </c>
      <c r="Z73" s="160">
        <v>45901</v>
      </c>
      <c r="AA73" s="150"/>
      <c r="AB73" s="150"/>
      <c r="AG73" s="155">
        <f t="shared" si="4"/>
        <v>1</v>
      </c>
    </row>
    <row r="74" spans="1:147" s="155" customFormat="1" x14ac:dyDescent="0.25">
      <c r="A74" s="262"/>
      <c r="B74" s="147">
        <v>63</v>
      </c>
      <c r="C74" s="148" t="s">
        <v>2</v>
      </c>
      <c r="D74" s="149" t="s">
        <v>246</v>
      </c>
      <c r="E74" s="247"/>
      <c r="F74" s="150" t="s">
        <v>245</v>
      </c>
      <c r="G74" s="150" t="s">
        <v>265</v>
      </c>
      <c r="H74" s="147">
        <v>8</v>
      </c>
      <c r="I74" s="151" t="s">
        <v>35</v>
      </c>
      <c r="J74" s="152">
        <v>45877</v>
      </c>
      <c r="K74" s="147"/>
      <c r="L74" s="151"/>
      <c r="M74" s="150" t="s">
        <v>266</v>
      </c>
      <c r="N74" s="262"/>
      <c r="O74" s="147"/>
      <c r="P74" s="262"/>
      <c r="Q74" s="147">
        <v>1</v>
      </c>
      <c r="R74" s="262"/>
      <c r="S74" s="147"/>
      <c r="T74" s="259"/>
      <c r="U74" s="259"/>
      <c r="V74" s="154">
        <v>45887</v>
      </c>
      <c r="W74" s="162">
        <f t="shared" ref="W74" si="47">Z74-(MAX(V74,J74))</f>
        <v>15</v>
      </c>
      <c r="X74" s="147">
        <f t="shared" ref="X74" si="48">Z74-J74</f>
        <v>25</v>
      </c>
      <c r="Y74" s="147" t="str">
        <f t="shared" ref="Y74" si="49">IF(W74&lt;30,"Dans les délais","Hors délais")</f>
        <v>Dans les délais</v>
      </c>
      <c r="Z74" s="160">
        <v>45902</v>
      </c>
      <c r="AA74" s="150"/>
      <c r="AB74" s="150"/>
      <c r="AG74" s="155">
        <f t="shared" si="4"/>
        <v>1</v>
      </c>
    </row>
    <row r="75" spans="1:147" x14ac:dyDescent="0.25">
      <c r="A75" s="308">
        <v>37</v>
      </c>
      <c r="B75" s="222">
        <v>64</v>
      </c>
      <c r="C75" s="42" t="s">
        <v>2</v>
      </c>
      <c r="D75" s="121" t="s">
        <v>255</v>
      </c>
      <c r="E75" s="43" t="s">
        <v>36</v>
      </c>
      <c r="F75" s="43" t="s">
        <v>177</v>
      </c>
      <c r="G75" s="43" t="s">
        <v>202</v>
      </c>
      <c r="H75" s="222"/>
      <c r="I75" s="209" t="s">
        <v>35</v>
      </c>
      <c r="J75" s="106">
        <v>45889</v>
      </c>
      <c r="K75" s="76">
        <v>1</v>
      </c>
      <c r="L75" s="21"/>
      <c r="M75" s="43" t="s">
        <v>62</v>
      </c>
      <c r="N75" s="43"/>
      <c r="O75" s="225"/>
      <c r="P75" s="43"/>
      <c r="Q75" s="43"/>
      <c r="R75" s="306">
        <v>1</v>
      </c>
      <c r="S75" s="225">
        <v>1</v>
      </c>
      <c r="T75" s="310">
        <v>1200</v>
      </c>
      <c r="U75" s="306"/>
      <c r="V75" s="43"/>
      <c r="W75" s="222"/>
      <c r="X75" s="222"/>
      <c r="Y75" s="222"/>
      <c r="Z75" s="222"/>
      <c r="AA75" s="43"/>
      <c r="AB75" s="43"/>
      <c r="AG75" s="155">
        <f t="shared" si="4"/>
        <v>0</v>
      </c>
    </row>
    <row r="76" spans="1:147" x14ac:dyDescent="0.25">
      <c r="A76" s="309"/>
      <c r="B76" s="222">
        <v>65</v>
      </c>
      <c r="C76" s="42" t="s">
        <v>2</v>
      </c>
      <c r="D76" s="121" t="s">
        <v>255</v>
      </c>
      <c r="E76" s="43" t="s">
        <v>36</v>
      </c>
      <c r="F76" s="43" t="s">
        <v>68</v>
      </c>
      <c r="G76" s="43" t="s">
        <v>256</v>
      </c>
      <c r="H76" s="222"/>
      <c r="I76" s="209" t="s">
        <v>35</v>
      </c>
      <c r="J76" s="106">
        <v>45889</v>
      </c>
      <c r="K76" s="76">
        <v>1</v>
      </c>
      <c r="L76" s="21"/>
      <c r="M76" s="43" t="s">
        <v>62</v>
      </c>
      <c r="N76" s="43"/>
      <c r="O76" s="225"/>
      <c r="P76" s="43"/>
      <c r="Q76" s="43"/>
      <c r="R76" s="307"/>
      <c r="S76" s="225">
        <v>1</v>
      </c>
      <c r="T76" s="311"/>
      <c r="U76" s="307"/>
      <c r="V76" s="43"/>
      <c r="W76" s="222"/>
      <c r="X76" s="222"/>
      <c r="Y76" s="222"/>
      <c r="Z76" s="222"/>
      <c r="AA76" s="43"/>
      <c r="AB76" s="43"/>
      <c r="AG76" s="155">
        <f t="shared" si="4"/>
        <v>0</v>
      </c>
    </row>
    <row r="77" spans="1:147" s="8" customFormat="1" x14ac:dyDescent="0.25">
      <c r="A77" s="260">
        <v>38</v>
      </c>
      <c r="B77" s="228">
        <v>66</v>
      </c>
      <c r="C77" s="208" t="s">
        <v>2</v>
      </c>
      <c r="D77" s="229" t="s">
        <v>257</v>
      </c>
      <c r="E77" s="239" t="s">
        <v>258</v>
      </c>
      <c r="F77" s="41" t="s">
        <v>259</v>
      </c>
      <c r="G77" s="41"/>
      <c r="H77" s="228"/>
      <c r="I77" s="209" t="s">
        <v>35</v>
      </c>
      <c r="J77" s="209"/>
      <c r="K77" s="228">
        <v>1</v>
      </c>
      <c r="L77" s="209"/>
      <c r="M77" s="41" t="s">
        <v>62</v>
      </c>
      <c r="N77" s="260">
        <v>1</v>
      </c>
      <c r="O77" s="228">
        <v>1</v>
      </c>
      <c r="P77" s="41"/>
      <c r="Q77" s="41"/>
      <c r="R77" s="260"/>
      <c r="S77" s="228"/>
      <c r="T77" s="257">
        <v>1200</v>
      </c>
      <c r="U77" s="304">
        <v>1200</v>
      </c>
      <c r="V77" s="211">
        <v>45898</v>
      </c>
      <c r="W77" s="228"/>
      <c r="X77" s="228"/>
      <c r="Y77" s="228"/>
      <c r="Z77" s="228"/>
      <c r="AA77" s="41"/>
      <c r="AB77" s="41"/>
      <c r="AC77" s="17"/>
      <c r="AD77" s="17"/>
      <c r="AE77" s="17"/>
      <c r="AF77" s="17"/>
      <c r="AG77" s="155">
        <f t="shared" ref="AG77:AG79" si="50">IF(Y77="dans les délais",1,0)</f>
        <v>0</v>
      </c>
      <c r="AH77" s="17"/>
      <c r="AI77" s="17"/>
      <c r="AJ77" s="17"/>
      <c r="AK77" s="17"/>
      <c r="AL77" s="17"/>
      <c r="AM77" s="17"/>
      <c r="AN77" s="17"/>
      <c r="AO77" s="17"/>
      <c r="AP77" s="17"/>
      <c r="AQ77" s="17"/>
      <c r="AR77" s="17"/>
      <c r="AS77" s="17"/>
      <c r="AT77" s="17"/>
      <c r="AU77" s="17"/>
      <c r="AV77" s="17"/>
      <c r="AW77" s="17"/>
      <c r="AX77" s="17"/>
      <c r="AY77" s="17"/>
      <c r="AZ77" s="17"/>
      <c r="BA77" s="17"/>
      <c r="BB77" s="17"/>
      <c r="BC77" s="17"/>
      <c r="BD77" s="17"/>
      <c r="BE77" s="17"/>
      <c r="BF77" s="17"/>
      <c r="BG77" s="17"/>
      <c r="BH77" s="17"/>
      <c r="BI77" s="17"/>
      <c r="BJ77" s="17"/>
      <c r="BK77" s="17"/>
      <c r="BL77" s="17"/>
      <c r="BM77" s="17"/>
      <c r="BN77" s="17"/>
      <c r="BO77" s="17"/>
      <c r="BP77" s="17"/>
      <c r="BQ77" s="17"/>
      <c r="BR77" s="17"/>
      <c r="BS77" s="17"/>
      <c r="BT77" s="17"/>
      <c r="BU77" s="17"/>
      <c r="BV77" s="17"/>
      <c r="BW77" s="17"/>
      <c r="BX77" s="17"/>
      <c r="BY77" s="17"/>
      <c r="BZ77" s="17"/>
      <c r="CA77" s="17"/>
      <c r="CB77" s="17"/>
      <c r="CC77" s="17"/>
      <c r="CD77" s="17"/>
      <c r="CE77" s="17"/>
      <c r="CF77" s="17"/>
      <c r="CG77" s="17"/>
      <c r="CH77" s="17"/>
      <c r="CI77" s="17"/>
      <c r="CJ77" s="17"/>
      <c r="CK77" s="17"/>
      <c r="CL77" s="17"/>
      <c r="CM77" s="17"/>
      <c r="CN77" s="17"/>
      <c r="CO77" s="17"/>
      <c r="CP77" s="17"/>
      <c r="CQ77" s="17"/>
      <c r="CR77" s="17"/>
      <c r="CS77" s="17"/>
      <c r="CT77" s="17"/>
      <c r="CU77" s="17"/>
      <c r="CV77" s="17"/>
      <c r="CW77" s="17"/>
      <c r="CX77" s="17"/>
      <c r="CY77" s="17"/>
      <c r="CZ77" s="17"/>
      <c r="DA77" s="17"/>
      <c r="DB77" s="17"/>
      <c r="DC77" s="17"/>
      <c r="DD77" s="17"/>
      <c r="DE77" s="17"/>
      <c r="DF77" s="17"/>
      <c r="DG77" s="17"/>
      <c r="DH77" s="17"/>
      <c r="DI77" s="17"/>
      <c r="DJ77" s="17"/>
      <c r="DK77" s="17"/>
      <c r="DL77" s="17"/>
      <c r="DM77" s="17"/>
      <c r="DN77" s="17"/>
      <c r="DO77" s="17"/>
      <c r="DP77" s="17"/>
      <c r="DQ77" s="17"/>
      <c r="DR77" s="17"/>
      <c r="DS77" s="17"/>
      <c r="DT77" s="17"/>
      <c r="DU77" s="17"/>
      <c r="DV77" s="17"/>
      <c r="DW77" s="17"/>
      <c r="DX77" s="17"/>
      <c r="DY77" s="17"/>
      <c r="DZ77" s="17"/>
      <c r="EA77" s="17"/>
      <c r="EB77" s="17"/>
      <c r="EC77" s="17"/>
      <c r="ED77" s="17"/>
      <c r="EE77" s="17"/>
      <c r="EF77" s="17"/>
      <c r="EG77" s="17"/>
      <c r="EH77" s="17"/>
      <c r="EI77" s="17"/>
      <c r="EJ77" s="17"/>
      <c r="EK77" s="17"/>
      <c r="EL77" s="17"/>
      <c r="EM77" s="17"/>
      <c r="EN77" s="17"/>
      <c r="EO77" s="17"/>
      <c r="EP77" s="17"/>
      <c r="EQ77" s="17"/>
    </row>
    <row r="78" spans="1:147" s="8" customFormat="1" x14ac:dyDescent="0.25">
      <c r="A78" s="262"/>
      <c r="B78" s="228">
        <v>67</v>
      </c>
      <c r="C78" s="208" t="s">
        <v>2</v>
      </c>
      <c r="D78" s="229" t="s">
        <v>257</v>
      </c>
      <c r="E78" s="241"/>
      <c r="F78" s="41" t="s">
        <v>259</v>
      </c>
      <c r="G78" s="41"/>
      <c r="H78" s="228"/>
      <c r="I78" s="209" t="s">
        <v>35</v>
      </c>
      <c r="J78" s="209"/>
      <c r="K78" s="228">
        <v>1</v>
      </c>
      <c r="L78" s="209"/>
      <c r="M78" s="41" t="s">
        <v>62</v>
      </c>
      <c r="N78" s="262"/>
      <c r="O78" s="228">
        <v>1</v>
      </c>
      <c r="P78" s="41"/>
      <c r="Q78" s="41"/>
      <c r="R78" s="262"/>
      <c r="S78" s="228"/>
      <c r="T78" s="259"/>
      <c r="U78" s="305"/>
      <c r="V78" s="211">
        <v>45898</v>
      </c>
      <c r="W78" s="228"/>
      <c r="X78" s="228"/>
      <c r="Y78" s="228"/>
      <c r="Z78" s="228"/>
      <c r="AA78" s="41"/>
      <c r="AB78" s="41"/>
      <c r="AC78" s="17"/>
      <c r="AD78" s="17"/>
      <c r="AE78" s="17"/>
      <c r="AF78" s="17"/>
      <c r="AG78" s="155">
        <f t="shared" si="50"/>
        <v>0</v>
      </c>
      <c r="AH78" s="17"/>
      <c r="AI78" s="17"/>
      <c r="AJ78" s="17"/>
      <c r="AK78" s="17"/>
      <c r="AL78" s="17"/>
      <c r="AM78" s="17"/>
      <c r="AN78" s="17"/>
      <c r="AO78" s="17"/>
      <c r="AP78" s="17"/>
      <c r="AQ78" s="17"/>
      <c r="AR78" s="17"/>
      <c r="AS78" s="17"/>
      <c r="AT78" s="17"/>
      <c r="AU78" s="17"/>
      <c r="AV78" s="17"/>
      <c r="AW78" s="17"/>
      <c r="AX78" s="17"/>
      <c r="AY78" s="17"/>
      <c r="AZ78" s="17"/>
      <c r="BA78" s="17"/>
      <c r="BB78" s="17"/>
      <c r="BC78" s="17"/>
      <c r="BD78" s="17"/>
      <c r="BE78" s="17"/>
      <c r="BF78" s="17"/>
      <c r="BG78" s="17"/>
      <c r="BH78" s="17"/>
      <c r="BI78" s="17"/>
      <c r="BJ78" s="17"/>
      <c r="BK78" s="17"/>
      <c r="BL78" s="17"/>
      <c r="BM78" s="17"/>
      <c r="BN78" s="17"/>
      <c r="BO78" s="17"/>
      <c r="BP78" s="17"/>
      <c r="BQ78" s="17"/>
      <c r="BR78" s="17"/>
      <c r="BS78" s="17"/>
      <c r="BT78" s="17"/>
      <c r="BU78" s="17"/>
      <c r="BV78" s="17"/>
      <c r="BW78" s="17"/>
      <c r="BX78" s="17"/>
      <c r="BY78" s="17"/>
      <c r="BZ78" s="17"/>
      <c r="CA78" s="17"/>
      <c r="CB78" s="17"/>
      <c r="CC78" s="17"/>
      <c r="CD78" s="17"/>
      <c r="CE78" s="17"/>
      <c r="CF78" s="17"/>
      <c r="CG78" s="17"/>
      <c r="CH78" s="17"/>
      <c r="CI78" s="17"/>
      <c r="CJ78" s="17"/>
      <c r="CK78" s="17"/>
      <c r="CL78" s="17"/>
      <c r="CM78" s="17"/>
      <c r="CN78" s="17"/>
      <c r="CO78" s="17"/>
      <c r="CP78" s="17"/>
      <c r="CQ78" s="17"/>
      <c r="CR78" s="17"/>
      <c r="CS78" s="17"/>
      <c r="CT78" s="17"/>
      <c r="CU78" s="17"/>
      <c r="CV78" s="17"/>
      <c r="CW78" s="17"/>
      <c r="CX78" s="17"/>
      <c r="CY78" s="17"/>
      <c r="CZ78" s="17"/>
      <c r="DA78" s="17"/>
      <c r="DB78" s="17"/>
      <c r="DC78" s="17"/>
      <c r="DD78" s="17"/>
      <c r="DE78" s="17"/>
      <c r="DF78" s="17"/>
      <c r="DG78" s="17"/>
      <c r="DH78" s="17"/>
      <c r="DI78" s="17"/>
      <c r="DJ78" s="17"/>
      <c r="DK78" s="17"/>
      <c r="DL78" s="17"/>
      <c r="DM78" s="17"/>
      <c r="DN78" s="17"/>
      <c r="DO78" s="17"/>
      <c r="DP78" s="17"/>
      <c r="DQ78" s="17"/>
      <c r="DR78" s="17"/>
      <c r="DS78" s="17"/>
      <c r="DT78" s="17"/>
      <c r="DU78" s="17"/>
      <c r="DV78" s="17"/>
      <c r="DW78" s="17"/>
      <c r="DX78" s="17"/>
      <c r="DY78" s="17"/>
      <c r="DZ78" s="17"/>
      <c r="EA78" s="17"/>
      <c r="EB78" s="17"/>
      <c r="EC78" s="17"/>
      <c r="ED78" s="17"/>
      <c r="EE78" s="17"/>
      <c r="EF78" s="17"/>
      <c r="EG78" s="17"/>
      <c r="EH78" s="17"/>
      <c r="EI78" s="17"/>
      <c r="EJ78" s="17"/>
      <c r="EK78" s="17"/>
      <c r="EL78" s="17"/>
      <c r="EM78" s="17"/>
      <c r="EN78" s="17"/>
      <c r="EO78" s="17"/>
      <c r="EP78" s="17"/>
      <c r="EQ78" s="17"/>
    </row>
    <row r="79" spans="1:147" s="8" customFormat="1" x14ac:dyDescent="0.25">
      <c r="A79" s="46">
        <v>39</v>
      </c>
      <c r="B79" s="228">
        <v>68</v>
      </c>
      <c r="C79" s="208" t="s">
        <v>2</v>
      </c>
      <c r="D79" s="229" t="s">
        <v>268</v>
      </c>
      <c r="E79" s="41" t="s">
        <v>46</v>
      </c>
      <c r="F79" s="41" t="s">
        <v>47</v>
      </c>
      <c r="G79" s="41"/>
      <c r="H79" s="228"/>
      <c r="I79" s="209" t="s">
        <v>15</v>
      </c>
      <c r="J79" s="209"/>
      <c r="K79" s="228">
        <v>1</v>
      </c>
      <c r="L79" s="209"/>
      <c r="M79" s="41" t="s">
        <v>62</v>
      </c>
      <c r="N79" s="228">
        <v>1</v>
      </c>
      <c r="O79" s="228">
        <v>1</v>
      </c>
      <c r="P79" s="228"/>
      <c r="Q79" s="228"/>
      <c r="R79" s="228"/>
      <c r="S79" s="228"/>
      <c r="T79" s="212">
        <v>5000</v>
      </c>
      <c r="U79" s="212">
        <v>5000</v>
      </c>
      <c r="V79" s="211">
        <v>45897</v>
      </c>
      <c r="W79" s="228"/>
      <c r="X79" s="228"/>
      <c r="Y79" s="228"/>
      <c r="Z79" s="228"/>
      <c r="AA79" s="41"/>
      <c r="AB79" s="41"/>
      <c r="AC79" s="17"/>
      <c r="AD79" s="17"/>
      <c r="AE79" s="17"/>
      <c r="AF79" s="17"/>
      <c r="AG79" s="155">
        <f t="shared" si="50"/>
        <v>0</v>
      </c>
      <c r="AH79" s="17"/>
      <c r="AI79" s="17"/>
      <c r="AJ79" s="17"/>
      <c r="AK79" s="17"/>
      <c r="AL79" s="17"/>
      <c r="AM79" s="17"/>
      <c r="AN79" s="17"/>
      <c r="AO79" s="17"/>
      <c r="AP79" s="17"/>
      <c r="AQ79" s="17"/>
      <c r="AR79" s="17"/>
      <c r="AS79" s="17"/>
      <c r="AT79" s="17"/>
      <c r="AU79" s="17"/>
      <c r="AV79" s="17"/>
      <c r="AW79" s="17"/>
      <c r="AX79" s="17"/>
      <c r="AY79" s="17"/>
      <c r="AZ79" s="17"/>
      <c r="BA79" s="17"/>
      <c r="BB79" s="17"/>
      <c r="BC79" s="17"/>
      <c r="BD79" s="17"/>
      <c r="BE79" s="17"/>
      <c r="BF79" s="17"/>
      <c r="BG79" s="17"/>
      <c r="BH79" s="17"/>
      <c r="BI79" s="17"/>
      <c r="BJ79" s="17"/>
      <c r="BK79" s="17"/>
      <c r="BL79" s="17"/>
      <c r="BM79" s="17"/>
      <c r="BN79" s="17"/>
      <c r="BO79" s="17"/>
      <c r="BP79" s="17"/>
      <c r="BQ79" s="17"/>
      <c r="BR79" s="17"/>
      <c r="BS79" s="17"/>
      <c r="BT79" s="17"/>
      <c r="BU79" s="17"/>
      <c r="BV79" s="17"/>
      <c r="BW79" s="17"/>
      <c r="BX79" s="17"/>
      <c r="BY79" s="17"/>
      <c r="BZ79" s="17"/>
      <c r="CA79" s="17"/>
      <c r="CB79" s="17"/>
      <c r="CC79" s="17"/>
      <c r="CD79" s="17"/>
      <c r="CE79" s="17"/>
      <c r="CF79" s="17"/>
      <c r="CG79" s="17"/>
      <c r="CH79" s="17"/>
      <c r="CI79" s="17"/>
      <c r="CJ79" s="17"/>
      <c r="CK79" s="17"/>
      <c r="CL79" s="17"/>
      <c r="CM79" s="17"/>
      <c r="CN79" s="17"/>
      <c r="CO79" s="17"/>
      <c r="CP79" s="17"/>
      <c r="CQ79" s="17"/>
      <c r="CR79" s="17"/>
      <c r="CS79" s="17"/>
      <c r="CT79" s="17"/>
      <c r="CU79" s="17"/>
      <c r="CV79" s="17"/>
      <c r="CW79" s="17"/>
      <c r="CX79" s="17"/>
      <c r="CY79" s="17"/>
      <c r="CZ79" s="17"/>
      <c r="DA79" s="17"/>
      <c r="DB79" s="17"/>
      <c r="DC79" s="17"/>
      <c r="DD79" s="17"/>
      <c r="DE79" s="17"/>
      <c r="DF79" s="17"/>
      <c r="DG79" s="17"/>
      <c r="DH79" s="17"/>
      <c r="DI79" s="17"/>
      <c r="DJ79" s="17"/>
      <c r="DK79" s="17"/>
      <c r="DL79" s="17"/>
      <c r="DM79" s="17"/>
      <c r="DN79" s="17"/>
      <c r="DO79" s="17"/>
      <c r="DP79" s="17"/>
      <c r="DQ79" s="17"/>
      <c r="DR79" s="17"/>
      <c r="DS79" s="17"/>
      <c r="DT79" s="17"/>
      <c r="DU79" s="17"/>
      <c r="DV79" s="17"/>
      <c r="DW79" s="17"/>
      <c r="DX79" s="17"/>
      <c r="DY79" s="17"/>
      <c r="DZ79" s="17"/>
      <c r="EA79" s="17"/>
      <c r="EB79" s="17"/>
      <c r="EC79" s="17"/>
      <c r="ED79" s="17"/>
      <c r="EE79" s="17"/>
      <c r="EF79" s="17"/>
      <c r="EG79" s="17"/>
      <c r="EH79" s="17"/>
      <c r="EI79" s="17"/>
      <c r="EJ79" s="17"/>
      <c r="EK79" s="17"/>
      <c r="EL79" s="17"/>
      <c r="EM79" s="17"/>
      <c r="EN79" s="17"/>
      <c r="EO79" s="17"/>
      <c r="EP79" s="17"/>
      <c r="EQ79" s="17"/>
    </row>
    <row r="80" spans="1:147" x14ac:dyDescent="0.25">
      <c r="A80" s="225">
        <v>40</v>
      </c>
      <c r="B80" s="225">
        <v>69</v>
      </c>
      <c r="C80" s="42" t="s">
        <v>2</v>
      </c>
      <c r="D80" s="121" t="s">
        <v>269</v>
      </c>
      <c r="E80" s="43" t="s">
        <v>270</v>
      </c>
      <c r="F80" s="43" t="s">
        <v>271</v>
      </c>
      <c r="G80" s="43" t="s">
        <v>272</v>
      </c>
      <c r="H80" s="225"/>
      <c r="I80" s="21" t="s">
        <v>15</v>
      </c>
      <c r="J80" s="21"/>
      <c r="K80" s="76">
        <v>1</v>
      </c>
      <c r="L80" s="21"/>
      <c r="M80" s="43" t="s">
        <v>241</v>
      </c>
      <c r="N80" s="43"/>
      <c r="O80" s="43"/>
      <c r="P80" s="43"/>
      <c r="Q80" s="43"/>
      <c r="R80" s="225">
        <v>1</v>
      </c>
      <c r="S80" s="225">
        <v>1</v>
      </c>
      <c r="T80" s="193">
        <v>5000</v>
      </c>
      <c r="U80" s="43"/>
      <c r="V80" s="43"/>
      <c r="W80" s="225"/>
      <c r="X80" s="225"/>
      <c r="Y80" s="225"/>
      <c r="Z80" s="225"/>
      <c r="AA80" s="43"/>
      <c r="AB80" s="43"/>
    </row>
    <row r="81" spans="1:147" s="8" customFormat="1" x14ac:dyDescent="0.25">
      <c r="A81" s="46">
        <v>41</v>
      </c>
      <c r="B81" s="228">
        <v>70</v>
      </c>
      <c r="C81" s="208" t="s">
        <v>2</v>
      </c>
      <c r="D81" s="229" t="s">
        <v>273</v>
      </c>
      <c r="E81" s="41" t="s">
        <v>46</v>
      </c>
      <c r="F81" s="41" t="s">
        <v>47</v>
      </c>
      <c r="G81" s="41"/>
      <c r="H81" s="228"/>
      <c r="I81" s="209" t="s">
        <v>35</v>
      </c>
      <c r="J81" s="209"/>
      <c r="K81" s="228">
        <v>1</v>
      </c>
      <c r="L81" s="209"/>
      <c r="M81" s="41" t="s">
        <v>62</v>
      </c>
      <c r="N81" s="41">
        <v>1</v>
      </c>
      <c r="O81" s="41">
        <v>1</v>
      </c>
      <c r="P81" s="41"/>
      <c r="Q81" s="41"/>
      <c r="R81" s="41"/>
      <c r="S81" s="41"/>
      <c r="T81" s="212">
        <v>600</v>
      </c>
      <c r="U81" s="212">
        <v>600</v>
      </c>
      <c r="V81" s="211">
        <v>45902</v>
      </c>
      <c r="W81" s="228"/>
      <c r="X81" s="228"/>
      <c r="Y81" s="228"/>
      <c r="Z81" s="228"/>
      <c r="AA81" s="41"/>
      <c r="AB81" s="41"/>
      <c r="AC81" s="17"/>
      <c r="AD81" s="17"/>
      <c r="AE81" s="17"/>
      <c r="AF81" s="17"/>
      <c r="AG81" s="17"/>
      <c r="AH81" s="17"/>
      <c r="AI81" s="17"/>
      <c r="AJ81" s="17"/>
      <c r="AK81" s="17"/>
      <c r="AL81" s="17"/>
      <c r="AM81" s="17"/>
      <c r="AN81" s="17"/>
      <c r="AO81" s="17"/>
      <c r="AP81" s="17"/>
      <c r="AQ81" s="17"/>
      <c r="AR81" s="17"/>
      <c r="AS81" s="17"/>
      <c r="AT81" s="17"/>
      <c r="AU81" s="17"/>
      <c r="AV81" s="17"/>
      <c r="AW81" s="17"/>
      <c r="AX81" s="17"/>
      <c r="AY81" s="17"/>
      <c r="AZ81" s="17"/>
      <c r="BA81" s="17"/>
      <c r="BB81" s="17"/>
      <c r="BC81" s="17"/>
      <c r="BD81" s="17"/>
      <c r="BE81" s="17"/>
      <c r="BF81" s="17"/>
      <c r="BG81" s="17"/>
      <c r="BH81" s="17"/>
      <c r="BI81" s="17"/>
      <c r="BJ81" s="17"/>
      <c r="BK81" s="17"/>
      <c r="BL81" s="17"/>
      <c r="BM81" s="17"/>
      <c r="BN81" s="17"/>
      <c r="BO81" s="17"/>
      <c r="BP81" s="17"/>
      <c r="BQ81" s="17"/>
      <c r="BR81" s="17"/>
      <c r="BS81" s="17"/>
      <c r="BT81" s="17"/>
      <c r="BU81" s="17"/>
      <c r="BV81" s="17"/>
      <c r="BW81" s="17"/>
      <c r="BX81" s="17"/>
      <c r="BY81" s="17"/>
      <c r="BZ81" s="17"/>
      <c r="CA81" s="17"/>
      <c r="CB81" s="17"/>
      <c r="CC81" s="17"/>
      <c r="CD81" s="17"/>
      <c r="CE81" s="17"/>
      <c r="CF81" s="17"/>
      <c r="CG81" s="17"/>
      <c r="CH81" s="17"/>
      <c r="CI81" s="17"/>
      <c r="CJ81" s="17"/>
      <c r="CK81" s="17"/>
      <c r="CL81" s="17"/>
      <c r="CM81" s="17"/>
      <c r="CN81" s="17"/>
      <c r="CO81" s="17"/>
      <c r="CP81" s="17"/>
      <c r="CQ81" s="17"/>
      <c r="CR81" s="17"/>
      <c r="CS81" s="17"/>
      <c r="CT81" s="17"/>
      <c r="CU81" s="17"/>
      <c r="CV81" s="17"/>
      <c r="CW81" s="17"/>
      <c r="CX81" s="17"/>
      <c r="CY81" s="17"/>
      <c r="CZ81" s="17"/>
      <c r="DA81" s="17"/>
      <c r="DB81" s="17"/>
      <c r="DC81" s="17"/>
      <c r="DD81" s="17"/>
      <c r="DE81" s="17"/>
      <c r="DF81" s="17"/>
      <c r="DG81" s="17"/>
      <c r="DH81" s="17"/>
      <c r="DI81" s="17"/>
      <c r="DJ81" s="17"/>
      <c r="DK81" s="17"/>
      <c r="DL81" s="17"/>
      <c r="DM81" s="17"/>
      <c r="DN81" s="17"/>
      <c r="DO81" s="17"/>
      <c r="DP81" s="17"/>
      <c r="DQ81" s="17"/>
      <c r="DR81" s="17"/>
      <c r="DS81" s="17"/>
      <c r="DT81" s="17"/>
      <c r="DU81" s="17"/>
      <c r="DV81" s="17"/>
      <c r="DW81" s="17"/>
      <c r="DX81" s="17"/>
      <c r="DY81" s="17"/>
      <c r="DZ81" s="17"/>
      <c r="EA81" s="17"/>
      <c r="EB81" s="17"/>
      <c r="EC81" s="17"/>
      <c r="ED81" s="17"/>
      <c r="EE81" s="17"/>
      <c r="EF81" s="17"/>
      <c r="EG81" s="17"/>
      <c r="EH81" s="17"/>
      <c r="EI81" s="17"/>
      <c r="EJ81" s="17"/>
      <c r="EK81" s="17"/>
      <c r="EL81" s="17"/>
      <c r="EM81" s="17"/>
      <c r="EN81" s="17"/>
      <c r="EO81" s="17"/>
      <c r="EP81" s="17"/>
      <c r="EQ81" s="17"/>
    </row>
    <row r="82" spans="1:147" s="219" customFormat="1" x14ac:dyDescent="0.25">
      <c r="A82" s="76">
        <v>42</v>
      </c>
      <c r="B82" s="76">
        <v>71</v>
      </c>
      <c r="C82" s="213" t="s">
        <v>2</v>
      </c>
      <c r="D82" s="214" t="s">
        <v>274</v>
      </c>
      <c r="E82" s="215" t="s">
        <v>244</v>
      </c>
      <c r="F82" s="215" t="s">
        <v>177</v>
      </c>
      <c r="G82" s="215"/>
      <c r="H82" s="76">
        <v>7</v>
      </c>
      <c r="I82" s="216" t="s">
        <v>275</v>
      </c>
      <c r="J82" s="216"/>
      <c r="K82" s="76">
        <v>1</v>
      </c>
      <c r="L82" s="216"/>
      <c r="M82" s="215" t="s">
        <v>62</v>
      </c>
      <c r="N82" s="215"/>
      <c r="O82" s="215"/>
      <c r="P82" s="215"/>
      <c r="Q82" s="215"/>
      <c r="R82" s="215">
        <v>1</v>
      </c>
      <c r="S82" s="215">
        <v>1</v>
      </c>
      <c r="T82" s="193">
        <v>600</v>
      </c>
      <c r="U82" s="215"/>
      <c r="V82" s="215"/>
      <c r="W82" s="76"/>
      <c r="X82" s="76"/>
      <c r="Y82" s="76"/>
      <c r="Z82" s="76"/>
      <c r="AA82" s="215"/>
      <c r="AB82" s="215"/>
      <c r="AC82" s="218"/>
      <c r="AD82" s="218"/>
      <c r="AE82" s="218"/>
      <c r="AF82" s="218"/>
      <c r="AG82" s="218"/>
      <c r="AH82" s="218"/>
      <c r="AI82" s="218"/>
      <c r="AJ82" s="218"/>
      <c r="AK82" s="218"/>
      <c r="AL82" s="218"/>
      <c r="AM82" s="218"/>
      <c r="AN82" s="218"/>
      <c r="AO82" s="218"/>
      <c r="AP82" s="218"/>
      <c r="AQ82" s="218"/>
      <c r="AR82" s="218"/>
      <c r="AS82" s="218"/>
      <c r="AT82" s="218"/>
      <c r="AU82" s="218"/>
      <c r="AV82" s="218"/>
      <c r="AW82" s="218"/>
      <c r="AX82" s="218"/>
      <c r="AY82" s="218"/>
      <c r="AZ82" s="218"/>
      <c r="BA82" s="218"/>
      <c r="BB82" s="218"/>
      <c r="BC82" s="218"/>
      <c r="BD82" s="218"/>
      <c r="BE82" s="218"/>
      <c r="BF82" s="218"/>
      <c r="BG82" s="218"/>
      <c r="BH82" s="218"/>
      <c r="BI82" s="218"/>
      <c r="BJ82" s="218"/>
      <c r="BK82" s="218"/>
      <c r="BL82" s="218"/>
      <c r="BM82" s="218"/>
      <c r="BN82" s="218"/>
      <c r="BO82" s="218"/>
      <c r="BP82" s="218"/>
      <c r="BQ82" s="218"/>
      <c r="BR82" s="218"/>
      <c r="BS82" s="218"/>
      <c r="BT82" s="218"/>
      <c r="BU82" s="218"/>
      <c r="BV82" s="218"/>
      <c r="BW82" s="218"/>
      <c r="BX82" s="218"/>
      <c r="BY82" s="218"/>
      <c r="BZ82" s="218"/>
      <c r="CA82" s="218"/>
      <c r="CB82" s="218"/>
      <c r="CC82" s="218"/>
      <c r="CD82" s="218"/>
      <c r="CE82" s="218"/>
      <c r="CF82" s="218"/>
      <c r="CG82" s="218"/>
      <c r="CH82" s="218"/>
      <c r="CI82" s="218"/>
      <c r="CJ82" s="218"/>
      <c r="CK82" s="218"/>
      <c r="CL82" s="218"/>
      <c r="CM82" s="218"/>
      <c r="CN82" s="218"/>
      <c r="CO82" s="218"/>
      <c r="CP82" s="218"/>
      <c r="CQ82" s="218"/>
      <c r="CR82" s="218"/>
      <c r="CS82" s="218"/>
      <c r="CT82" s="218"/>
      <c r="CU82" s="218"/>
      <c r="CV82" s="218"/>
      <c r="CW82" s="218"/>
      <c r="CX82" s="218"/>
      <c r="CY82" s="218"/>
      <c r="CZ82" s="218"/>
      <c r="DA82" s="218"/>
      <c r="DB82" s="218"/>
      <c r="DC82" s="218"/>
      <c r="DD82" s="218"/>
      <c r="DE82" s="218"/>
      <c r="DF82" s="218"/>
      <c r="DG82" s="218"/>
      <c r="DH82" s="218"/>
      <c r="DI82" s="218"/>
      <c r="DJ82" s="218"/>
      <c r="DK82" s="218"/>
      <c r="DL82" s="218"/>
      <c r="DM82" s="218"/>
      <c r="DN82" s="218"/>
      <c r="DO82" s="218"/>
      <c r="DP82" s="218"/>
      <c r="DQ82" s="218"/>
      <c r="DR82" s="218"/>
      <c r="DS82" s="218"/>
      <c r="DT82" s="218"/>
      <c r="DU82" s="218"/>
      <c r="DV82" s="218"/>
      <c r="DW82" s="218"/>
      <c r="DX82" s="218"/>
      <c r="DY82" s="218"/>
      <c r="DZ82" s="218"/>
      <c r="EA82" s="218"/>
      <c r="EB82" s="218"/>
      <c r="EC82" s="218"/>
      <c r="ED82" s="218"/>
      <c r="EE82" s="218"/>
      <c r="EF82" s="218"/>
      <c r="EG82" s="218"/>
      <c r="EH82" s="218"/>
      <c r="EI82" s="218"/>
      <c r="EJ82" s="218"/>
      <c r="EK82" s="218"/>
      <c r="EL82" s="218"/>
      <c r="EM82" s="218"/>
      <c r="EN82" s="218"/>
      <c r="EO82" s="218"/>
      <c r="EP82" s="218"/>
      <c r="EQ82" s="218"/>
    </row>
    <row r="83" spans="1:147" x14ac:dyDescent="0.25">
      <c r="A83" s="232">
        <v>43</v>
      </c>
      <c r="B83" s="225">
        <v>72</v>
      </c>
      <c r="C83" s="42" t="s">
        <v>2</v>
      </c>
      <c r="D83" s="121" t="s">
        <v>276</v>
      </c>
      <c r="E83" s="43" t="s">
        <v>221</v>
      </c>
      <c r="F83" s="43"/>
      <c r="G83" s="43"/>
      <c r="H83" s="225"/>
      <c r="I83" s="21"/>
      <c r="J83" s="21"/>
      <c r="K83" s="76">
        <v>1</v>
      </c>
      <c r="L83" s="21"/>
      <c r="M83" s="43" t="s">
        <v>62</v>
      </c>
      <c r="N83" s="43"/>
      <c r="O83" s="43"/>
      <c r="P83" s="43"/>
      <c r="Q83" s="43"/>
      <c r="R83" s="43">
        <v>1</v>
      </c>
      <c r="S83" s="43">
        <v>1</v>
      </c>
      <c r="T83" s="43"/>
      <c r="U83" s="43"/>
      <c r="V83" s="43"/>
      <c r="W83" s="225"/>
      <c r="X83" s="225"/>
      <c r="Y83" s="225"/>
      <c r="Z83" s="225"/>
      <c r="AA83" s="43"/>
      <c r="AB83" s="43"/>
    </row>
    <row r="84" spans="1:147" x14ac:dyDescent="0.25">
      <c r="A84" s="225">
        <v>44</v>
      </c>
      <c r="B84" s="225">
        <v>73</v>
      </c>
      <c r="C84" s="42" t="s">
        <v>2</v>
      </c>
      <c r="D84" s="121" t="s">
        <v>277</v>
      </c>
      <c r="E84" s="43" t="s">
        <v>59</v>
      </c>
      <c r="F84" s="43"/>
      <c r="G84" s="43" t="s">
        <v>278</v>
      </c>
      <c r="H84" s="225">
        <v>7</v>
      </c>
      <c r="I84" s="21" t="s">
        <v>15</v>
      </c>
      <c r="J84" s="21"/>
      <c r="K84" s="76">
        <v>1</v>
      </c>
      <c r="L84" s="21"/>
      <c r="M84" s="43" t="s">
        <v>241</v>
      </c>
      <c r="N84" s="43"/>
      <c r="O84" s="43"/>
      <c r="P84" s="43"/>
      <c r="Q84" s="43"/>
      <c r="R84" s="43"/>
      <c r="S84" s="43"/>
      <c r="T84" s="193">
        <v>4000</v>
      </c>
      <c r="U84" s="43"/>
      <c r="V84" s="43"/>
      <c r="W84" s="225"/>
      <c r="X84" s="225"/>
      <c r="Y84" s="225"/>
      <c r="Z84" s="225"/>
      <c r="AA84" s="43"/>
      <c r="AB84" s="43"/>
    </row>
  </sheetData>
  <autoFilter ref="A11:EQ84">
    <filterColumn colId="0" showButton="0"/>
    <filterColumn colId="2" showButton="0"/>
  </autoFilter>
  <mergeCells count="118">
    <mergeCell ref="U77:U78"/>
    <mergeCell ref="U75:U76"/>
    <mergeCell ref="P68:P74"/>
    <mergeCell ref="A77:A78"/>
    <mergeCell ref="R77:R78"/>
    <mergeCell ref="N63:N66"/>
    <mergeCell ref="N68:N74"/>
    <mergeCell ref="T77:T78"/>
    <mergeCell ref="N77:N78"/>
    <mergeCell ref="U64:U66"/>
    <mergeCell ref="U68:U74"/>
    <mergeCell ref="A75:A76"/>
    <mergeCell ref="R75:R76"/>
    <mergeCell ref="T75:T76"/>
    <mergeCell ref="A63:A66"/>
    <mergeCell ref="T63:T66"/>
    <mergeCell ref="E68:E74"/>
    <mergeCell ref="R63:R66"/>
    <mergeCell ref="A68:A74"/>
    <mergeCell ref="R68:R74"/>
    <mergeCell ref="T68:T74"/>
    <mergeCell ref="P63:P66"/>
    <mergeCell ref="E77:E78"/>
    <mergeCell ref="U49:U50"/>
    <mergeCell ref="T47:T48"/>
    <mergeCell ref="T49:T50"/>
    <mergeCell ref="N47:N48"/>
    <mergeCell ref="A24:A25"/>
    <mergeCell ref="N24:N25"/>
    <mergeCell ref="P24:P25"/>
    <mergeCell ref="R24:R25"/>
    <mergeCell ref="A49:A50"/>
    <mergeCell ref="E31:E33"/>
    <mergeCell ref="E42:E43"/>
    <mergeCell ref="N49:N50"/>
    <mergeCell ref="E24:E25"/>
    <mergeCell ref="E49:E50"/>
    <mergeCell ref="N42:N43"/>
    <mergeCell ref="R42:R43"/>
    <mergeCell ref="E47:E48"/>
    <mergeCell ref="A31:A33"/>
    <mergeCell ref="P49:P50"/>
    <mergeCell ref="R49:R50"/>
    <mergeCell ref="A42:A43"/>
    <mergeCell ref="A3:B7"/>
    <mergeCell ref="A2:D2"/>
    <mergeCell ref="A9:B11"/>
    <mergeCell ref="A8:B8"/>
    <mergeCell ref="C8:D8"/>
    <mergeCell ref="A12:A13"/>
    <mergeCell ref="N12:N13"/>
    <mergeCell ref="P12:P13"/>
    <mergeCell ref="R12:R13"/>
    <mergeCell ref="P9:Q11"/>
    <mergeCell ref="R9:S11"/>
    <mergeCell ref="A17:A21"/>
    <mergeCell ref="E17:E21"/>
    <mergeCell ref="E12:E13"/>
    <mergeCell ref="A47:A48"/>
    <mergeCell ref="R47:R48"/>
    <mergeCell ref="E9:E11"/>
    <mergeCell ref="C9:D11"/>
    <mergeCell ref="Z10:Z11"/>
    <mergeCell ref="AA10:AA11"/>
    <mergeCell ref="AB10:AB11"/>
    <mergeCell ref="W9:W11"/>
    <mergeCell ref="J9:M10"/>
    <mergeCell ref="N9:O11"/>
    <mergeCell ref="X9:X11"/>
    <mergeCell ref="C1:W1"/>
    <mergeCell ref="G9:G11"/>
    <mergeCell ref="H9:H11"/>
    <mergeCell ref="I9:I11"/>
    <mergeCell ref="E2:G2"/>
    <mergeCell ref="C6:D6"/>
    <mergeCell ref="C7:D7"/>
    <mergeCell ref="E7:F7"/>
    <mergeCell ref="C3:D3"/>
    <mergeCell ref="C4:D4"/>
    <mergeCell ref="F9:F11"/>
    <mergeCell ref="U9:V9"/>
    <mergeCell ref="W2:W5"/>
    <mergeCell ref="C5:D5"/>
    <mergeCell ref="X2:X5"/>
    <mergeCell ref="X17:X21"/>
    <mergeCell ref="X24:X25"/>
    <mergeCell ref="X31:X33"/>
    <mergeCell ref="X12:X13"/>
    <mergeCell ref="U47:U48"/>
    <mergeCell ref="P42:P43"/>
    <mergeCell ref="N31:N33"/>
    <mergeCell ref="P31:P33"/>
    <mergeCell ref="R31:R33"/>
    <mergeCell ref="P47:P48"/>
    <mergeCell ref="N17:N21"/>
    <mergeCell ref="P17:P21"/>
    <mergeCell ref="R17:R21"/>
    <mergeCell ref="U52:U53"/>
    <mergeCell ref="A57:A60"/>
    <mergeCell ref="E57:E60"/>
    <mergeCell ref="A54:A56"/>
    <mergeCell ref="E54:E56"/>
    <mergeCell ref="N54:N56"/>
    <mergeCell ref="P54:P56"/>
    <mergeCell ref="R54:R56"/>
    <mergeCell ref="R51:R53"/>
    <mergeCell ref="P51:P53"/>
    <mergeCell ref="N51:N53"/>
    <mergeCell ref="A51:A53"/>
    <mergeCell ref="E51:E53"/>
    <mergeCell ref="T51:T53"/>
    <mergeCell ref="U54:U56"/>
    <mergeCell ref="T57:T60"/>
    <mergeCell ref="U57:U60"/>
    <mergeCell ref="R57:R60"/>
    <mergeCell ref="N57:N60"/>
    <mergeCell ref="P57:P60"/>
    <mergeCell ref="T54:T56"/>
  </mergeCells>
  <phoneticPr fontId="7" type="noConversion"/>
  <pageMargins left="0.70866141732283472" right="0.70866141732283472" top="0.74803149606299213" bottom="0.74803149606299213" header="0.31496062992125984" footer="0.31496062992125984"/>
  <pageSetup paperSize="9" scale="60" orientation="landscape" r:id="rId1"/>
  <ignoredErrors>
    <ignoredError sqref="Y15"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E47"/>
  <sheetViews>
    <sheetView view="pageBreakPreview" zoomScale="70" zoomScaleNormal="60" zoomScaleSheetLayoutView="70" workbookViewId="0">
      <selection activeCell="J10" sqref="J10:K10"/>
    </sheetView>
  </sheetViews>
  <sheetFormatPr baseColWidth="10" defaultRowHeight="18.75" x14ac:dyDescent="0.3"/>
  <cols>
    <col min="1" max="1" width="3.7109375" customWidth="1"/>
    <col min="2" max="22" width="11.7109375" customWidth="1"/>
    <col min="23" max="23" width="3.7109375" customWidth="1"/>
    <col min="24" max="24" width="6.140625" customWidth="1"/>
    <col min="25" max="25" width="30" style="117" customWidth="1"/>
    <col min="26" max="26" width="175.42578125" style="117" customWidth="1"/>
    <col min="27" max="27" width="30.140625" style="117" customWidth="1"/>
    <col min="28" max="31" width="11.42578125" style="117"/>
  </cols>
  <sheetData>
    <row r="1" spans="1:31" ht="24" customHeight="1" x14ac:dyDescent="0.3">
      <c r="A1" s="80"/>
      <c r="B1" s="328"/>
      <c r="C1" s="328"/>
      <c r="D1" s="328"/>
      <c r="E1" s="332" t="s">
        <v>108</v>
      </c>
      <c r="F1" s="332"/>
      <c r="G1" s="332"/>
      <c r="H1" s="332"/>
      <c r="I1" s="332"/>
      <c r="J1" s="332"/>
      <c r="K1" s="332"/>
      <c r="L1" s="332"/>
      <c r="M1" s="332"/>
      <c r="N1" s="332"/>
      <c r="O1" s="332"/>
      <c r="P1" s="332"/>
      <c r="Q1" s="332"/>
      <c r="R1" s="332"/>
      <c r="S1" s="332"/>
      <c r="T1" s="332"/>
      <c r="U1" s="328"/>
      <c r="V1" s="328"/>
      <c r="W1" s="330"/>
    </row>
    <row r="2" spans="1:31" ht="24" customHeight="1" x14ac:dyDescent="0.3">
      <c r="A2" s="81"/>
      <c r="B2" s="329"/>
      <c r="C2" s="329"/>
      <c r="D2" s="329"/>
      <c r="E2" s="333" t="s">
        <v>109</v>
      </c>
      <c r="F2" s="333"/>
      <c r="G2" s="333"/>
      <c r="H2" s="333"/>
      <c r="I2" s="333"/>
      <c r="J2" s="333"/>
      <c r="K2" s="333"/>
      <c r="L2" s="333"/>
      <c r="M2" s="333"/>
      <c r="N2" s="333"/>
      <c r="O2" s="333"/>
      <c r="P2" s="333"/>
      <c r="Q2" s="333"/>
      <c r="R2" s="333"/>
      <c r="S2" s="333"/>
      <c r="T2" s="333"/>
      <c r="U2" s="329"/>
      <c r="V2" s="329"/>
      <c r="W2" s="331"/>
    </row>
    <row r="3" spans="1:31" ht="20.100000000000001" customHeight="1" x14ac:dyDescent="0.3">
      <c r="A3" s="81"/>
      <c r="B3" s="329"/>
      <c r="C3" s="329"/>
      <c r="D3" s="329"/>
      <c r="E3" s="334" t="s">
        <v>110</v>
      </c>
      <c r="F3" s="334"/>
      <c r="G3" s="334"/>
      <c r="H3" s="334"/>
      <c r="I3" s="334"/>
      <c r="J3" s="334"/>
      <c r="K3" s="334"/>
      <c r="L3" s="334"/>
      <c r="M3" s="334"/>
      <c r="N3" s="334"/>
      <c r="O3" s="334"/>
      <c r="P3" s="334"/>
      <c r="Q3" s="334"/>
      <c r="R3" s="334"/>
      <c r="S3" s="334"/>
      <c r="T3" s="334"/>
      <c r="U3" s="329"/>
      <c r="V3" s="329"/>
      <c r="W3" s="331"/>
    </row>
    <row r="4" spans="1:31" ht="20.100000000000001" customHeight="1" x14ac:dyDescent="0.3">
      <c r="A4" s="81"/>
      <c r="B4" s="329"/>
      <c r="C4" s="329"/>
      <c r="D4" s="329"/>
      <c r="E4" s="334"/>
      <c r="F4" s="334"/>
      <c r="G4" s="334"/>
      <c r="H4" s="334"/>
      <c r="I4" s="334"/>
      <c r="J4" s="334"/>
      <c r="K4" s="334"/>
      <c r="L4" s="334"/>
      <c r="M4" s="334"/>
      <c r="N4" s="334"/>
      <c r="O4" s="334"/>
      <c r="P4" s="334"/>
      <c r="Q4" s="334"/>
      <c r="R4" s="334"/>
      <c r="S4" s="334"/>
      <c r="T4" s="334"/>
      <c r="U4" s="329"/>
      <c r="V4" s="329"/>
      <c r="W4" s="331"/>
    </row>
    <row r="5" spans="1:31" ht="6.75" customHeight="1" thickBot="1" x14ac:dyDescent="0.35">
      <c r="A5" s="349"/>
      <c r="B5" s="350"/>
      <c r="C5" s="350"/>
      <c r="D5" s="350"/>
      <c r="E5" s="350"/>
      <c r="F5" s="350"/>
      <c r="G5" s="350"/>
      <c r="H5" s="350"/>
      <c r="I5" s="350"/>
      <c r="J5" s="350"/>
      <c r="K5" s="350"/>
      <c r="L5" s="350"/>
      <c r="M5" s="350"/>
      <c r="N5" s="350"/>
      <c r="O5" s="350"/>
      <c r="P5" s="350"/>
      <c r="Q5" s="350"/>
      <c r="R5" s="350"/>
      <c r="S5" s="350"/>
      <c r="T5" s="350"/>
      <c r="U5" s="350"/>
      <c r="V5" s="350"/>
      <c r="W5" s="351"/>
    </row>
    <row r="6" spans="1:31" ht="36" customHeight="1" thickBot="1" x14ac:dyDescent="0.35">
      <c r="A6" s="317" t="s">
        <v>119</v>
      </c>
      <c r="B6" s="318"/>
      <c r="C6" s="318"/>
      <c r="D6" s="318"/>
      <c r="E6" s="318"/>
      <c r="F6" s="318"/>
      <c r="G6" s="318"/>
      <c r="H6" s="318"/>
      <c r="I6" s="318"/>
      <c r="J6" s="318"/>
      <c r="K6" s="318"/>
      <c r="L6" s="318"/>
      <c r="M6" s="318"/>
      <c r="N6" s="318"/>
      <c r="O6" s="318"/>
      <c r="P6" s="318"/>
      <c r="Q6" s="318"/>
      <c r="R6" s="318"/>
      <c r="S6" s="318"/>
      <c r="T6" s="318"/>
      <c r="U6" s="318"/>
      <c r="V6" s="318"/>
      <c r="W6" s="319"/>
    </row>
    <row r="7" spans="1:31" ht="15" customHeight="1" thickBot="1" x14ac:dyDescent="0.35">
      <c r="A7" s="359"/>
      <c r="B7" s="360"/>
      <c r="C7" s="360"/>
      <c r="D7" s="360"/>
      <c r="E7" s="360"/>
      <c r="F7" s="360"/>
      <c r="G7" s="360"/>
      <c r="H7" s="360"/>
      <c r="I7" s="360"/>
      <c r="J7" s="360"/>
      <c r="K7" s="360"/>
      <c r="L7" s="360"/>
      <c r="M7" s="360"/>
      <c r="N7" s="360"/>
      <c r="O7" s="360"/>
      <c r="P7" s="360"/>
      <c r="Q7" s="360"/>
      <c r="R7" s="360"/>
      <c r="S7" s="360"/>
      <c r="T7" s="360"/>
      <c r="U7" s="360"/>
      <c r="V7" s="360"/>
      <c r="W7" s="361"/>
    </row>
    <row r="8" spans="1:31" ht="44.1" customHeight="1" x14ac:dyDescent="0.3">
      <c r="A8" s="128"/>
      <c r="B8" s="383"/>
      <c r="C8" s="384"/>
      <c r="D8" s="384"/>
      <c r="E8" s="384"/>
      <c r="F8" s="384"/>
      <c r="G8" s="384"/>
      <c r="H8" s="384"/>
      <c r="I8" s="384"/>
      <c r="J8" s="384"/>
      <c r="K8" s="384"/>
      <c r="L8" s="385"/>
      <c r="M8" s="400"/>
      <c r="N8" s="130"/>
      <c r="O8" s="131"/>
      <c r="P8" s="373" t="s">
        <v>150</v>
      </c>
      <c r="Q8" s="373"/>
      <c r="R8" s="373"/>
      <c r="S8" s="373"/>
      <c r="T8" s="373"/>
      <c r="U8" s="373"/>
      <c r="V8" s="374"/>
      <c r="W8" s="129"/>
    </row>
    <row r="9" spans="1:31" s="75" customFormat="1" ht="44.1" customHeight="1" x14ac:dyDescent="0.3">
      <c r="A9" s="82"/>
      <c r="B9" s="386"/>
      <c r="C9" s="387"/>
      <c r="D9" s="387"/>
      <c r="E9" s="387"/>
      <c r="F9" s="387"/>
      <c r="G9" s="387"/>
      <c r="H9" s="387"/>
      <c r="I9" s="387"/>
      <c r="J9" s="387"/>
      <c r="K9" s="387"/>
      <c r="L9" s="388"/>
      <c r="M9" s="400"/>
      <c r="N9" s="140"/>
      <c r="O9" s="141"/>
      <c r="P9" s="375"/>
      <c r="Q9" s="375"/>
      <c r="R9" s="375"/>
      <c r="S9" s="375"/>
      <c r="T9" s="375"/>
      <c r="U9" s="375"/>
      <c r="V9" s="376"/>
      <c r="W9" s="107"/>
      <c r="Y9" s="118"/>
      <c r="Z9" s="118"/>
      <c r="AA9" s="118"/>
      <c r="AB9" s="118"/>
      <c r="AC9" s="118"/>
      <c r="AD9" s="118"/>
      <c r="AE9" s="118"/>
    </row>
    <row r="10" spans="1:31" s="2" customFormat="1" ht="26.1" customHeight="1" x14ac:dyDescent="0.25">
      <c r="A10" s="83"/>
      <c r="B10" s="377" t="s">
        <v>102</v>
      </c>
      <c r="C10" s="378"/>
      <c r="D10" s="378"/>
      <c r="E10" s="378"/>
      <c r="F10" s="379">
        <f>'Fiche de suivi 2025'!AB2</f>
        <v>44</v>
      </c>
      <c r="G10" s="379"/>
      <c r="H10" s="127"/>
      <c r="I10" s="98"/>
      <c r="J10" s="379">
        <f>'Fiche de suivi 2025'!AB3</f>
        <v>73</v>
      </c>
      <c r="K10" s="379"/>
      <c r="L10" s="99"/>
      <c r="M10" s="400"/>
      <c r="N10" s="132"/>
      <c r="O10" s="315" t="s">
        <v>3</v>
      </c>
      <c r="P10" s="315"/>
      <c r="Q10" s="315" t="s">
        <v>144</v>
      </c>
      <c r="R10" s="315"/>
      <c r="S10" s="133" t="s">
        <v>12</v>
      </c>
      <c r="T10" s="315" t="s">
        <v>145</v>
      </c>
      <c r="U10" s="315"/>
      <c r="V10" s="134"/>
      <c r="W10" s="92"/>
      <c r="Y10" s="146" t="s">
        <v>154</v>
      </c>
      <c r="Z10" s="119" t="s">
        <v>155</v>
      </c>
      <c r="AA10" s="119"/>
      <c r="AB10" s="119"/>
      <c r="AC10" s="119"/>
      <c r="AD10" s="119"/>
      <c r="AE10" s="119"/>
    </row>
    <row r="11" spans="1:31" s="2" customFormat="1" ht="26.1" customHeight="1" x14ac:dyDescent="0.25">
      <c r="A11" s="83"/>
      <c r="B11" s="377" t="s">
        <v>106</v>
      </c>
      <c r="C11" s="378"/>
      <c r="D11" s="378"/>
      <c r="E11" s="378"/>
      <c r="F11" s="371">
        <f>'Fiche de suivi 2025'!P6</f>
        <v>30</v>
      </c>
      <c r="G11" s="371"/>
      <c r="H11" s="103">
        <f>F11/F10</f>
        <v>0.68181818181818177</v>
      </c>
      <c r="I11" s="98"/>
      <c r="J11" s="371">
        <f>'Fiche de suivi 2025'!Q6</f>
        <v>54</v>
      </c>
      <c r="K11" s="371"/>
      <c r="L11" s="100">
        <f>J11/J10</f>
        <v>0.73972602739726023</v>
      </c>
      <c r="M11" s="400"/>
      <c r="N11" s="135"/>
      <c r="O11" s="316"/>
      <c r="P11" s="316"/>
      <c r="Q11" s="316"/>
      <c r="R11" s="316"/>
      <c r="S11" s="136"/>
      <c r="T11" s="316"/>
      <c r="U11" s="316"/>
      <c r="V11" s="134"/>
      <c r="W11" s="92"/>
      <c r="Y11" s="146" t="s">
        <v>104</v>
      </c>
      <c r="Z11" s="119" t="s">
        <v>156</v>
      </c>
      <c r="AA11" s="119"/>
      <c r="AB11" s="119"/>
      <c r="AC11" s="119"/>
      <c r="AD11" s="119"/>
      <c r="AE11" s="119"/>
    </row>
    <row r="12" spans="1:31" s="2" customFormat="1" ht="26.1" customHeight="1" x14ac:dyDescent="0.25">
      <c r="A12" s="83"/>
      <c r="B12" s="377" t="s">
        <v>120</v>
      </c>
      <c r="C12" s="378"/>
      <c r="D12" s="378"/>
      <c r="E12" s="378"/>
      <c r="F12" s="371">
        <f>'Fiche de suivi 2025'!N6</f>
        <v>7</v>
      </c>
      <c r="G12" s="371"/>
      <c r="H12" s="103">
        <f>F12/F10</f>
        <v>0.15909090909090909</v>
      </c>
      <c r="I12" s="98"/>
      <c r="J12" s="371">
        <f>'Fiche de suivi 2025'!O6</f>
        <v>11</v>
      </c>
      <c r="K12" s="371"/>
      <c r="L12" s="100">
        <f>J12/J10</f>
        <v>0.15068493150684931</v>
      </c>
      <c r="M12" s="400"/>
      <c r="N12" s="135"/>
      <c r="O12" s="316"/>
      <c r="P12" s="316"/>
      <c r="Q12" s="316"/>
      <c r="R12" s="316"/>
      <c r="S12" s="136"/>
      <c r="T12" s="316"/>
      <c r="U12" s="316"/>
      <c r="V12" s="137"/>
      <c r="W12" s="92"/>
      <c r="Y12" s="146" t="s">
        <v>124</v>
      </c>
      <c r="Z12" s="119" t="s">
        <v>157</v>
      </c>
      <c r="AA12" s="119"/>
      <c r="AB12" s="119"/>
      <c r="AC12" s="119"/>
      <c r="AD12" s="119"/>
      <c r="AE12" s="119"/>
    </row>
    <row r="13" spans="1:31" s="2" customFormat="1" ht="26.1" customHeight="1" thickBot="1" x14ac:dyDescent="0.3">
      <c r="A13" s="83"/>
      <c r="B13" s="369" t="s">
        <v>107</v>
      </c>
      <c r="C13" s="370"/>
      <c r="D13" s="370"/>
      <c r="E13" s="370"/>
      <c r="F13" s="372">
        <f>'Fiche de suivi 2025'!R6</f>
        <v>6</v>
      </c>
      <c r="G13" s="372"/>
      <c r="H13" s="104">
        <f>F13/F10</f>
        <v>0.13636363636363635</v>
      </c>
      <c r="I13" s="101"/>
      <c r="J13" s="372">
        <f>'Fiche de suivi 2025'!S6</f>
        <v>7</v>
      </c>
      <c r="K13" s="372"/>
      <c r="L13" s="102">
        <f>J13/J10</f>
        <v>9.5890410958904104E-2</v>
      </c>
      <c r="M13" s="400"/>
      <c r="N13" s="135"/>
      <c r="O13" s="316"/>
      <c r="P13" s="316"/>
      <c r="Q13" s="316"/>
      <c r="R13" s="316"/>
      <c r="S13" s="136"/>
      <c r="T13" s="316"/>
      <c r="U13" s="316"/>
      <c r="V13" s="138"/>
      <c r="W13" s="92"/>
      <c r="Y13" s="146" t="s">
        <v>125</v>
      </c>
      <c r="Z13" s="119" t="s">
        <v>126</v>
      </c>
      <c r="AA13" s="119"/>
      <c r="AB13" s="119"/>
      <c r="AC13" s="119"/>
      <c r="AD13" s="119"/>
      <c r="AE13" s="119"/>
    </row>
    <row r="14" spans="1:31" s="2" customFormat="1" ht="26.1" customHeight="1" x14ac:dyDescent="0.25">
      <c r="A14" s="83"/>
      <c r="B14" s="95"/>
      <c r="C14" s="95"/>
      <c r="D14" s="95"/>
      <c r="E14" s="95"/>
      <c r="F14" s="85"/>
      <c r="G14" s="85"/>
      <c r="H14" s="79"/>
      <c r="I14" s="85"/>
      <c r="J14" s="97"/>
      <c r="K14" s="79"/>
      <c r="L14" s="96"/>
      <c r="M14" s="400"/>
      <c r="N14" s="135"/>
      <c r="O14" s="316"/>
      <c r="P14" s="316"/>
      <c r="Q14" s="316"/>
      <c r="R14" s="316"/>
      <c r="S14" s="136"/>
      <c r="T14" s="316"/>
      <c r="U14" s="316"/>
      <c r="V14" s="139"/>
      <c r="W14" s="92"/>
      <c r="Y14" s="314" t="s">
        <v>89</v>
      </c>
      <c r="Z14" s="119" t="s">
        <v>152</v>
      </c>
      <c r="AA14" s="119"/>
      <c r="AB14" s="119"/>
      <c r="AC14" s="119"/>
      <c r="AD14" s="119"/>
      <c r="AE14" s="119"/>
    </row>
    <row r="15" spans="1:31" s="2" customFormat="1" ht="26.1" customHeight="1" x14ac:dyDescent="0.25">
      <c r="A15" s="83"/>
      <c r="B15" s="362"/>
      <c r="C15" s="363"/>
      <c r="D15" s="320" t="s">
        <v>147</v>
      </c>
      <c r="E15" s="320"/>
      <c r="F15" s="321"/>
      <c r="G15" s="85"/>
      <c r="H15" s="362"/>
      <c r="I15" s="363"/>
      <c r="J15" s="320" t="s">
        <v>89</v>
      </c>
      <c r="K15" s="320"/>
      <c r="L15" s="321"/>
      <c r="M15" s="400"/>
      <c r="N15" s="132"/>
      <c r="O15" s="368"/>
      <c r="P15" s="368"/>
      <c r="Q15" s="368"/>
      <c r="R15" s="368"/>
      <c r="S15" s="142"/>
      <c r="T15" s="316"/>
      <c r="U15" s="316"/>
      <c r="V15" s="139"/>
      <c r="W15" s="92"/>
      <c r="Y15" s="314"/>
      <c r="Z15" s="119" t="s">
        <v>127</v>
      </c>
      <c r="AA15" s="119"/>
      <c r="AB15" s="119"/>
      <c r="AC15" s="119"/>
      <c r="AD15" s="119"/>
      <c r="AE15" s="119"/>
    </row>
    <row r="16" spans="1:31" s="2" customFormat="1" ht="26.1" customHeight="1" thickBot="1" x14ac:dyDescent="0.3">
      <c r="A16" s="83"/>
      <c r="B16" s="364"/>
      <c r="C16" s="365"/>
      <c r="D16" s="322"/>
      <c r="E16" s="322"/>
      <c r="F16" s="323"/>
      <c r="G16" s="85"/>
      <c r="H16" s="364"/>
      <c r="I16" s="365"/>
      <c r="J16" s="322"/>
      <c r="K16" s="322"/>
      <c r="L16" s="323"/>
      <c r="M16" s="400"/>
      <c r="N16" s="143"/>
      <c r="O16" s="144"/>
      <c r="P16" s="144"/>
      <c r="Q16" s="144"/>
      <c r="R16" s="144"/>
      <c r="S16" s="144"/>
      <c r="T16" s="144"/>
      <c r="U16" s="144"/>
      <c r="V16" s="145"/>
      <c r="W16" s="92"/>
      <c r="Y16" s="314" t="s">
        <v>123</v>
      </c>
      <c r="Z16" s="119" t="s">
        <v>153</v>
      </c>
      <c r="AA16" s="119"/>
      <c r="AB16" s="119"/>
      <c r="AC16" s="119"/>
      <c r="AD16" s="119"/>
      <c r="AE16" s="119"/>
    </row>
    <row r="17" spans="1:31" s="2" customFormat="1" ht="26.1" customHeight="1" x14ac:dyDescent="0.25">
      <c r="A17" s="83"/>
      <c r="B17" s="364"/>
      <c r="C17" s="365"/>
      <c r="D17" s="324">
        <f>'Fiche de suivi 2025'!X6</f>
        <v>26.545454545454547</v>
      </c>
      <c r="E17" s="324"/>
      <c r="F17" s="326" t="s">
        <v>78</v>
      </c>
      <c r="G17" s="85"/>
      <c r="H17" s="364"/>
      <c r="I17" s="365"/>
      <c r="J17" s="324">
        <f>'Fiche de suivi 2025'!W6</f>
        <v>15.966666666666667</v>
      </c>
      <c r="K17" s="324"/>
      <c r="L17" s="326" t="s">
        <v>78</v>
      </c>
      <c r="M17" s="400"/>
      <c r="N17" s="389" t="s">
        <v>170</v>
      </c>
      <c r="O17" s="390"/>
      <c r="P17" s="390"/>
      <c r="Q17" s="390"/>
      <c r="R17" s="390"/>
      <c r="S17" s="396">
        <f>'Fiche de suivi 2025'!AG7/MV!J11</f>
        <v>0.7407407407407407</v>
      </c>
      <c r="T17" s="396"/>
      <c r="U17" s="396"/>
      <c r="V17" s="397"/>
      <c r="W17" s="92"/>
      <c r="Y17" s="314"/>
      <c r="Z17" s="119" t="s">
        <v>146</v>
      </c>
      <c r="AA17" s="119"/>
      <c r="AB17" s="119"/>
      <c r="AC17" s="119"/>
      <c r="AD17" s="119"/>
      <c r="AE17" s="119"/>
    </row>
    <row r="18" spans="1:31" s="2" customFormat="1" ht="26.1" customHeight="1" thickBot="1" x14ac:dyDescent="0.3">
      <c r="A18" s="83"/>
      <c r="B18" s="366"/>
      <c r="C18" s="367"/>
      <c r="D18" s="325"/>
      <c r="E18" s="325"/>
      <c r="F18" s="327"/>
      <c r="G18" s="85"/>
      <c r="H18" s="366"/>
      <c r="I18" s="367"/>
      <c r="J18" s="325"/>
      <c r="K18" s="325"/>
      <c r="L18" s="327"/>
      <c r="M18" s="400"/>
      <c r="N18" s="391"/>
      <c r="O18" s="392"/>
      <c r="P18" s="392"/>
      <c r="Q18" s="392"/>
      <c r="R18" s="392"/>
      <c r="S18" s="398"/>
      <c r="T18" s="398"/>
      <c r="U18" s="398"/>
      <c r="V18" s="399"/>
      <c r="W18" s="92"/>
      <c r="Y18" s="314" t="s">
        <v>121</v>
      </c>
      <c r="Z18" s="312" t="s">
        <v>128</v>
      </c>
      <c r="AA18" s="119"/>
      <c r="AB18" s="119"/>
      <c r="AC18" s="119"/>
      <c r="AD18" s="119"/>
      <c r="AE18" s="119"/>
    </row>
    <row r="19" spans="1:31" s="2" customFormat="1" ht="15" customHeight="1" thickBot="1" x14ac:dyDescent="0.3">
      <c r="A19" s="83"/>
      <c r="B19" s="114"/>
      <c r="C19" s="114"/>
      <c r="D19" s="115"/>
      <c r="E19" s="115"/>
      <c r="F19" s="96"/>
      <c r="G19" s="85"/>
      <c r="H19" s="79"/>
      <c r="I19" s="85"/>
      <c r="J19" s="97"/>
      <c r="K19" s="79"/>
      <c r="L19" s="96"/>
      <c r="M19" s="96"/>
      <c r="N19" s="74"/>
      <c r="O19" s="114"/>
      <c r="P19" s="114"/>
      <c r="Q19" s="114"/>
      <c r="R19" s="114"/>
      <c r="S19" s="114"/>
      <c r="T19" s="114"/>
      <c r="U19" s="114"/>
      <c r="V19" s="114"/>
      <c r="W19" s="108"/>
      <c r="Y19" s="314"/>
      <c r="Z19" s="312"/>
      <c r="AA19" s="119"/>
      <c r="AB19" s="119"/>
      <c r="AC19" s="119"/>
      <c r="AD19" s="119"/>
      <c r="AE19" s="119"/>
    </row>
    <row r="20" spans="1:31" s="2" customFormat="1" ht="36" customHeight="1" thickBot="1" x14ac:dyDescent="0.3">
      <c r="A20" s="317" t="s">
        <v>114</v>
      </c>
      <c r="B20" s="318"/>
      <c r="C20" s="318"/>
      <c r="D20" s="318"/>
      <c r="E20" s="318"/>
      <c r="F20" s="318"/>
      <c r="G20" s="318"/>
      <c r="H20" s="318"/>
      <c r="I20" s="318"/>
      <c r="J20" s="318"/>
      <c r="K20" s="318"/>
      <c r="L20" s="318"/>
      <c r="M20" s="318"/>
      <c r="N20" s="318"/>
      <c r="O20" s="318"/>
      <c r="P20" s="318"/>
      <c r="Q20" s="318"/>
      <c r="R20" s="318"/>
      <c r="S20" s="318"/>
      <c r="T20" s="318"/>
      <c r="U20" s="318"/>
      <c r="V20" s="318"/>
      <c r="W20" s="319"/>
      <c r="Y20" s="314"/>
      <c r="Z20" s="119" t="s">
        <v>149</v>
      </c>
      <c r="AA20" s="119"/>
      <c r="AB20" s="119"/>
      <c r="AC20" s="119"/>
      <c r="AD20" s="119"/>
      <c r="AE20" s="119"/>
    </row>
    <row r="21" spans="1:31" s="2" customFormat="1" ht="15" customHeight="1" x14ac:dyDescent="0.25">
      <c r="A21" s="393"/>
      <c r="B21" s="394"/>
      <c r="C21" s="394"/>
      <c r="D21" s="394"/>
      <c r="E21" s="394"/>
      <c r="F21" s="394"/>
      <c r="G21" s="394"/>
      <c r="H21" s="394"/>
      <c r="I21" s="394"/>
      <c r="J21" s="394"/>
      <c r="K21" s="394"/>
      <c r="L21" s="394"/>
      <c r="M21" s="394"/>
      <c r="N21" s="394"/>
      <c r="O21" s="394"/>
      <c r="P21" s="394"/>
      <c r="Q21" s="394"/>
      <c r="R21" s="394"/>
      <c r="S21" s="394"/>
      <c r="T21" s="394"/>
      <c r="U21" s="394"/>
      <c r="V21" s="394"/>
      <c r="W21" s="395"/>
      <c r="Y21" s="313" t="s">
        <v>122</v>
      </c>
      <c r="Z21" s="312" t="s">
        <v>129</v>
      </c>
      <c r="AA21" s="119"/>
      <c r="AB21" s="119"/>
      <c r="AC21" s="119"/>
      <c r="AD21" s="119"/>
      <c r="AE21" s="119"/>
    </row>
    <row r="22" spans="1:31" s="2" customFormat="1" ht="27.95" customHeight="1" x14ac:dyDescent="0.25">
      <c r="A22" s="83"/>
      <c r="B22" s="94"/>
      <c r="C22" s="94"/>
      <c r="D22" s="402" t="s">
        <v>121</v>
      </c>
      <c r="E22" s="402"/>
      <c r="F22" s="402"/>
      <c r="G22" s="402"/>
      <c r="H22" s="402"/>
      <c r="I22" s="402"/>
      <c r="J22" s="109"/>
      <c r="K22" s="110"/>
      <c r="L22" s="111"/>
      <c r="M22" s="116"/>
      <c r="N22" s="116"/>
      <c r="O22" s="402"/>
      <c r="P22" s="402"/>
      <c r="Q22" s="402" t="s">
        <v>122</v>
      </c>
      <c r="R22" s="402"/>
      <c r="S22" s="402"/>
      <c r="T22" s="402"/>
      <c r="U22" s="402"/>
      <c r="V22" s="402"/>
      <c r="W22" s="92"/>
      <c r="Y22" s="313"/>
      <c r="Z22" s="312"/>
      <c r="AA22" s="119"/>
      <c r="AB22" s="119"/>
      <c r="AC22" s="119"/>
      <c r="AD22" s="119"/>
      <c r="AE22" s="119"/>
    </row>
    <row r="23" spans="1:31" s="2" customFormat="1" ht="27.95" customHeight="1" x14ac:dyDescent="0.25">
      <c r="A23" s="83"/>
      <c r="B23" s="78"/>
      <c r="C23" s="78"/>
      <c r="D23" s="380">
        <f>('Fiche de suivi 2025'!K6)</f>
        <v>15</v>
      </c>
      <c r="E23" s="382" t="s">
        <v>111</v>
      </c>
      <c r="F23" s="382"/>
      <c r="G23" s="401" t="s">
        <v>117</v>
      </c>
      <c r="H23" s="401"/>
      <c r="I23" s="401"/>
      <c r="J23" s="109"/>
      <c r="K23" s="110"/>
      <c r="L23" s="111"/>
      <c r="M23" s="122"/>
      <c r="N23" s="122"/>
      <c r="O23" s="402"/>
      <c r="P23" s="402"/>
      <c r="Q23" s="380">
        <f>'Fiche de suivi 2025'!L6</f>
        <v>0</v>
      </c>
      <c r="R23" s="382" t="s">
        <v>111</v>
      </c>
      <c r="S23" s="382"/>
      <c r="T23" s="401" t="s">
        <v>117</v>
      </c>
      <c r="U23" s="401"/>
      <c r="V23" s="401"/>
      <c r="W23" s="92"/>
      <c r="Y23" s="313"/>
      <c r="Z23" s="119" t="s">
        <v>148</v>
      </c>
      <c r="AA23" s="119"/>
      <c r="AB23" s="119"/>
      <c r="AC23" s="119"/>
      <c r="AD23" s="119"/>
      <c r="AE23" s="119"/>
    </row>
    <row r="24" spans="1:31" s="2" customFormat="1" ht="27.95" customHeight="1" x14ac:dyDescent="0.25">
      <c r="A24" s="83"/>
      <c r="B24" s="94"/>
      <c r="C24" s="94"/>
      <c r="D24" s="380"/>
      <c r="E24" s="382"/>
      <c r="F24" s="382"/>
      <c r="G24" s="112">
        <f>D23*0.64</f>
        <v>9.6</v>
      </c>
      <c r="H24" s="111" t="s">
        <v>112</v>
      </c>
      <c r="I24" s="113">
        <f>G24/2</f>
        <v>4.8</v>
      </c>
      <c r="J24" s="111"/>
      <c r="K24" s="110"/>
      <c r="L24" s="111"/>
      <c r="M24" s="122"/>
      <c r="N24" s="122"/>
      <c r="O24" s="402"/>
      <c r="P24" s="402"/>
      <c r="Q24" s="380"/>
      <c r="R24" s="382"/>
      <c r="S24" s="382"/>
      <c r="T24" s="112">
        <f>Q23*0.64</f>
        <v>0</v>
      </c>
      <c r="U24" s="111" t="s">
        <v>112</v>
      </c>
      <c r="V24" s="113">
        <f>T24/2</f>
        <v>0</v>
      </c>
      <c r="W24" s="92"/>
      <c r="Y24" s="146" t="s">
        <v>158</v>
      </c>
      <c r="Z24" s="119" t="s">
        <v>159</v>
      </c>
      <c r="AA24" s="119"/>
      <c r="AB24" s="119"/>
      <c r="AC24" s="119"/>
      <c r="AD24" s="119"/>
      <c r="AE24" s="119"/>
    </row>
    <row r="25" spans="1:31" ht="19.5" thickBot="1" x14ac:dyDescent="0.35">
      <c r="A25" s="349"/>
      <c r="B25" s="350"/>
      <c r="C25" s="350"/>
      <c r="D25" s="350"/>
      <c r="E25" s="350"/>
      <c r="F25" s="350"/>
      <c r="G25" s="350"/>
      <c r="H25" s="350"/>
      <c r="I25" s="350"/>
      <c r="J25" s="350"/>
      <c r="K25" s="350"/>
      <c r="L25" s="350"/>
      <c r="M25" s="350"/>
      <c r="N25" s="350"/>
      <c r="O25" s="350"/>
      <c r="P25" s="350"/>
      <c r="Q25" s="350"/>
      <c r="R25" s="350"/>
      <c r="S25" s="350"/>
      <c r="T25" s="350"/>
      <c r="U25" s="350"/>
      <c r="V25" s="350"/>
      <c r="W25" s="351"/>
    </row>
    <row r="26" spans="1:31" ht="36" customHeight="1" thickBot="1" x14ac:dyDescent="0.35">
      <c r="A26" s="317" t="s">
        <v>115</v>
      </c>
      <c r="B26" s="318"/>
      <c r="C26" s="318"/>
      <c r="D26" s="318"/>
      <c r="E26" s="318"/>
      <c r="F26" s="318"/>
      <c r="G26" s="318"/>
      <c r="H26" s="318"/>
      <c r="I26" s="318"/>
      <c r="J26" s="318"/>
      <c r="K26" s="318"/>
      <c r="L26" s="318"/>
      <c r="M26" s="318"/>
      <c r="N26" s="318"/>
      <c r="O26" s="318"/>
      <c r="P26" s="318"/>
      <c r="Q26" s="318"/>
      <c r="R26" s="318"/>
      <c r="S26" s="318"/>
      <c r="T26" s="318"/>
      <c r="U26" s="318"/>
      <c r="V26" s="318"/>
      <c r="W26" s="319"/>
      <c r="Y26" s="117" t="s">
        <v>160</v>
      </c>
      <c r="Z26" s="117" t="s">
        <v>161</v>
      </c>
    </row>
    <row r="27" spans="1:31" ht="15" customHeight="1" thickBot="1" x14ac:dyDescent="0.35">
      <c r="A27" s="407"/>
      <c r="B27" s="328"/>
      <c r="C27" s="328"/>
      <c r="D27" s="328"/>
      <c r="E27" s="328"/>
      <c r="F27" s="328"/>
      <c r="G27" s="328"/>
      <c r="H27" s="328"/>
      <c r="I27" s="328"/>
      <c r="J27" s="328"/>
      <c r="K27" s="328"/>
      <c r="L27" s="328"/>
      <c r="M27" s="328"/>
      <c r="N27" s="328"/>
      <c r="O27" s="328"/>
      <c r="P27" s="328"/>
      <c r="Q27" s="328"/>
      <c r="R27" s="328"/>
      <c r="S27" s="328"/>
      <c r="T27" s="328"/>
      <c r="U27" s="328"/>
      <c r="V27" s="328"/>
      <c r="W27" s="330"/>
      <c r="Y27" s="409" t="s">
        <v>162</v>
      </c>
      <c r="Z27" s="409" t="s">
        <v>163</v>
      </c>
    </row>
    <row r="28" spans="1:31" ht="15" customHeight="1" x14ac:dyDescent="0.3">
      <c r="A28" s="348"/>
      <c r="B28" s="340" t="s">
        <v>88</v>
      </c>
      <c r="C28" s="405"/>
      <c r="D28" s="405"/>
      <c r="E28" s="405"/>
      <c r="F28" s="405"/>
      <c r="G28" s="405"/>
      <c r="H28" s="356"/>
      <c r="I28" s="343"/>
      <c r="J28" s="340" t="s">
        <v>91</v>
      </c>
      <c r="K28" s="356"/>
      <c r="L28" s="344"/>
      <c r="M28" s="335" t="s">
        <v>99</v>
      </c>
      <c r="N28" s="336"/>
      <c r="O28" s="329"/>
      <c r="P28" s="340" t="s">
        <v>94</v>
      </c>
      <c r="Q28" s="341"/>
      <c r="R28" s="341"/>
      <c r="S28" s="341"/>
      <c r="T28" s="341"/>
      <c r="U28" s="341"/>
      <c r="V28" s="342"/>
      <c r="W28" s="331"/>
      <c r="Y28" s="409"/>
      <c r="Z28" s="409"/>
    </row>
    <row r="29" spans="1:31" ht="15" customHeight="1" x14ac:dyDescent="0.3">
      <c r="A29" s="348"/>
      <c r="B29" s="357"/>
      <c r="C29" s="406"/>
      <c r="D29" s="406"/>
      <c r="E29" s="406"/>
      <c r="F29" s="406"/>
      <c r="G29" s="406"/>
      <c r="H29" s="358"/>
      <c r="I29" s="343"/>
      <c r="J29" s="357"/>
      <c r="K29" s="358"/>
      <c r="L29" s="344"/>
      <c r="M29" s="337"/>
      <c r="N29" s="338"/>
      <c r="O29" s="329"/>
      <c r="P29" s="343"/>
      <c r="Q29" s="344"/>
      <c r="R29" s="344"/>
      <c r="S29" s="344"/>
      <c r="T29" s="344"/>
      <c r="U29" s="344"/>
      <c r="V29" s="345"/>
      <c r="W29" s="331"/>
      <c r="Y29" s="409" t="s">
        <v>164</v>
      </c>
      <c r="Z29" s="409" t="s">
        <v>166</v>
      </c>
    </row>
    <row r="30" spans="1:31" ht="15" customHeight="1" x14ac:dyDescent="0.3">
      <c r="A30" s="348"/>
      <c r="B30" s="348"/>
      <c r="C30" s="329"/>
      <c r="D30" s="329"/>
      <c r="E30" s="329"/>
      <c r="F30" s="329"/>
      <c r="G30" s="329"/>
      <c r="H30" s="331"/>
      <c r="I30" s="343"/>
      <c r="J30" s="346" t="s">
        <v>92</v>
      </c>
      <c r="K30" s="347"/>
      <c r="L30" s="344"/>
      <c r="M30" s="337"/>
      <c r="N30" s="338"/>
      <c r="O30" s="329"/>
      <c r="P30" s="348"/>
      <c r="Q30" s="329"/>
      <c r="R30" s="329"/>
      <c r="S30" s="329"/>
      <c r="T30" s="329"/>
      <c r="U30" s="329"/>
      <c r="V30" s="331"/>
      <c r="W30" s="331"/>
      <c r="Y30" s="409"/>
      <c r="Z30" s="409"/>
    </row>
    <row r="31" spans="1:31" ht="15" customHeight="1" x14ac:dyDescent="0.3">
      <c r="A31" s="348"/>
      <c r="B31" s="348"/>
      <c r="C31" s="329"/>
      <c r="D31" s="329"/>
      <c r="E31" s="329"/>
      <c r="F31" s="329"/>
      <c r="G31" s="329"/>
      <c r="H31" s="331"/>
      <c r="I31" s="343"/>
      <c r="J31" s="346"/>
      <c r="K31" s="347"/>
      <c r="L31" s="344"/>
      <c r="M31" s="337"/>
      <c r="N31" s="338"/>
      <c r="O31" s="329"/>
      <c r="P31" s="348"/>
      <c r="Q31" s="329"/>
      <c r="R31" s="329"/>
      <c r="S31" s="329"/>
      <c r="T31" s="329"/>
      <c r="U31" s="329"/>
      <c r="V31" s="331"/>
      <c r="W31" s="331"/>
      <c r="Y31" s="409" t="s">
        <v>165</v>
      </c>
      <c r="Z31" s="409" t="s">
        <v>167</v>
      </c>
    </row>
    <row r="32" spans="1:31" ht="15" customHeight="1" x14ac:dyDescent="0.3">
      <c r="A32" s="348"/>
      <c r="B32" s="348"/>
      <c r="C32" s="329"/>
      <c r="D32" s="329"/>
      <c r="E32" s="329"/>
      <c r="F32" s="329"/>
      <c r="G32" s="329"/>
      <c r="H32" s="331"/>
      <c r="I32" s="343"/>
      <c r="J32" s="346"/>
      <c r="K32" s="347"/>
      <c r="L32" s="344"/>
      <c r="M32" s="337"/>
      <c r="N32" s="338"/>
      <c r="O32" s="329"/>
      <c r="P32" s="348"/>
      <c r="Q32" s="329"/>
      <c r="R32" s="329"/>
      <c r="S32" s="329"/>
      <c r="T32" s="329"/>
      <c r="U32" s="329"/>
      <c r="V32" s="331"/>
      <c r="W32" s="331"/>
      <c r="Y32" s="409"/>
      <c r="Z32" s="409"/>
    </row>
    <row r="33" spans="1:26" ht="15" customHeight="1" x14ac:dyDescent="0.3">
      <c r="A33" s="348"/>
      <c r="B33" s="348"/>
      <c r="C33" s="329"/>
      <c r="D33" s="329"/>
      <c r="E33" s="329"/>
      <c r="F33" s="329"/>
      <c r="G33" s="329"/>
      <c r="H33" s="331"/>
      <c r="I33" s="343"/>
      <c r="J33" s="346"/>
      <c r="K33" s="347"/>
      <c r="L33" s="344"/>
      <c r="M33" s="337"/>
      <c r="N33" s="338"/>
      <c r="O33" s="329"/>
      <c r="P33" s="348"/>
      <c r="Q33" s="329"/>
      <c r="R33" s="329"/>
      <c r="S33" s="329"/>
      <c r="T33" s="329"/>
      <c r="U33" s="329"/>
      <c r="V33" s="331"/>
      <c r="W33" s="331"/>
      <c r="Y33" s="408" t="s">
        <v>88</v>
      </c>
      <c r="Z33" s="312" t="s">
        <v>168</v>
      </c>
    </row>
    <row r="34" spans="1:26" ht="15" customHeight="1" x14ac:dyDescent="0.3">
      <c r="A34" s="348"/>
      <c r="B34" s="348"/>
      <c r="C34" s="329"/>
      <c r="D34" s="329"/>
      <c r="E34" s="329"/>
      <c r="F34" s="329"/>
      <c r="G34" s="329"/>
      <c r="H34" s="331"/>
      <c r="I34" s="343"/>
      <c r="J34" s="354">
        <f ca="1">Feuil2!D24</f>
        <v>400</v>
      </c>
      <c r="K34" s="352" t="s">
        <v>78</v>
      </c>
      <c r="L34" s="344"/>
      <c r="M34" s="354">
        <f>Feuil2!O5</f>
        <v>2</v>
      </c>
      <c r="N34" s="352" t="s">
        <v>78</v>
      </c>
      <c r="O34" s="329"/>
      <c r="P34" s="348"/>
      <c r="Q34" s="329"/>
      <c r="R34" s="329"/>
      <c r="S34" s="329"/>
      <c r="T34" s="329"/>
      <c r="U34" s="329"/>
      <c r="V34" s="331"/>
      <c r="W34" s="331"/>
      <c r="Y34" s="408"/>
      <c r="Z34" s="312"/>
    </row>
    <row r="35" spans="1:26" ht="15" customHeight="1" x14ac:dyDescent="0.3">
      <c r="A35" s="348"/>
      <c r="B35" s="348"/>
      <c r="C35" s="329"/>
      <c r="D35" s="329"/>
      <c r="E35" s="329"/>
      <c r="F35" s="329"/>
      <c r="G35" s="329"/>
      <c r="H35" s="331"/>
      <c r="I35" s="343"/>
      <c r="J35" s="354"/>
      <c r="K35" s="352"/>
      <c r="L35" s="344"/>
      <c r="M35" s="354"/>
      <c r="N35" s="352"/>
      <c r="O35" s="329"/>
      <c r="P35" s="348"/>
      <c r="Q35" s="329"/>
      <c r="R35" s="329"/>
      <c r="S35" s="329"/>
      <c r="T35" s="329"/>
      <c r="U35" s="329"/>
      <c r="V35" s="331"/>
      <c r="W35" s="331"/>
      <c r="Y35" s="408"/>
      <c r="Z35" s="312"/>
    </row>
    <row r="36" spans="1:26" ht="15.75" customHeight="1" thickBot="1" x14ac:dyDescent="0.35">
      <c r="A36" s="348"/>
      <c r="B36" s="348"/>
      <c r="C36" s="329"/>
      <c r="D36" s="329"/>
      <c r="E36" s="329"/>
      <c r="F36" s="329"/>
      <c r="G36" s="329"/>
      <c r="H36" s="331"/>
      <c r="I36" s="343"/>
      <c r="J36" s="355"/>
      <c r="K36" s="353"/>
      <c r="L36" s="344"/>
      <c r="M36" s="355"/>
      <c r="N36" s="353"/>
      <c r="O36" s="329"/>
      <c r="P36" s="348"/>
      <c r="Q36" s="329"/>
      <c r="R36" s="329"/>
      <c r="S36" s="329"/>
      <c r="T36" s="329"/>
      <c r="U36" s="329"/>
      <c r="V36" s="331"/>
      <c r="W36" s="331"/>
      <c r="Y36" s="408" t="s">
        <v>94</v>
      </c>
      <c r="Z36" s="409" t="s">
        <v>169</v>
      </c>
    </row>
    <row r="37" spans="1:26" ht="15.75" customHeight="1" thickBot="1" x14ac:dyDescent="0.35">
      <c r="A37" s="348"/>
      <c r="B37" s="348"/>
      <c r="C37" s="329"/>
      <c r="D37" s="329"/>
      <c r="E37" s="329"/>
      <c r="F37" s="329"/>
      <c r="G37" s="329"/>
      <c r="H37" s="331"/>
      <c r="I37" s="343"/>
      <c r="J37" s="339"/>
      <c r="K37" s="339"/>
      <c r="L37" s="344"/>
      <c r="M37" s="339"/>
      <c r="N37" s="339"/>
      <c r="O37" s="329"/>
      <c r="P37" s="348"/>
      <c r="Q37" s="329"/>
      <c r="R37" s="329"/>
      <c r="S37" s="329"/>
      <c r="T37" s="329"/>
      <c r="U37" s="329"/>
      <c r="V37" s="331"/>
      <c r="W37" s="331"/>
      <c r="Y37" s="408"/>
      <c r="Z37" s="409"/>
    </row>
    <row r="38" spans="1:26" ht="15" customHeight="1" x14ac:dyDescent="0.3">
      <c r="A38" s="348"/>
      <c r="B38" s="348"/>
      <c r="C38" s="329"/>
      <c r="D38" s="329"/>
      <c r="E38" s="329"/>
      <c r="F38" s="329"/>
      <c r="G38" s="329"/>
      <c r="H38" s="331"/>
      <c r="I38" s="343"/>
      <c r="J38" s="340" t="s">
        <v>80</v>
      </c>
      <c r="K38" s="356"/>
      <c r="L38" s="344"/>
      <c r="M38" s="335" t="s">
        <v>98</v>
      </c>
      <c r="N38" s="336"/>
      <c r="O38" s="329"/>
      <c r="P38" s="348"/>
      <c r="Q38" s="329"/>
      <c r="R38" s="329"/>
      <c r="S38" s="329"/>
      <c r="T38" s="329"/>
      <c r="U38" s="329"/>
      <c r="V38" s="331"/>
      <c r="W38" s="331"/>
      <c r="Y38" s="408"/>
      <c r="Z38" s="409"/>
    </row>
    <row r="39" spans="1:26" ht="15" customHeight="1" x14ac:dyDescent="0.3">
      <c r="A39" s="348"/>
      <c r="B39" s="348"/>
      <c r="C39" s="329"/>
      <c r="D39" s="329"/>
      <c r="E39" s="329"/>
      <c r="F39" s="329"/>
      <c r="G39" s="329"/>
      <c r="H39" s="331"/>
      <c r="I39" s="343"/>
      <c r="J39" s="357"/>
      <c r="K39" s="358"/>
      <c r="L39" s="344"/>
      <c r="M39" s="337"/>
      <c r="N39" s="338"/>
      <c r="O39" s="329"/>
      <c r="P39" s="348"/>
      <c r="Q39" s="329"/>
      <c r="R39" s="329"/>
      <c r="S39" s="329"/>
      <c r="T39" s="329"/>
      <c r="U39" s="329"/>
      <c r="V39" s="331"/>
      <c r="W39" s="331"/>
    </row>
    <row r="40" spans="1:26" ht="15" customHeight="1" x14ac:dyDescent="0.3">
      <c r="A40" s="348"/>
      <c r="B40" s="348"/>
      <c r="C40" s="329"/>
      <c r="D40" s="329"/>
      <c r="E40" s="329"/>
      <c r="F40" s="329"/>
      <c r="G40" s="329"/>
      <c r="H40" s="331"/>
      <c r="I40" s="343"/>
      <c r="J40" s="346" t="s">
        <v>79</v>
      </c>
      <c r="K40" s="347"/>
      <c r="L40" s="344"/>
      <c r="M40" s="337"/>
      <c r="N40" s="338"/>
      <c r="O40" s="329"/>
      <c r="P40" s="348"/>
      <c r="Q40" s="329"/>
      <c r="R40" s="329"/>
      <c r="S40" s="329"/>
      <c r="T40" s="329"/>
      <c r="U40" s="329"/>
      <c r="V40" s="331"/>
      <c r="W40" s="331"/>
    </row>
    <row r="41" spans="1:26" ht="15" customHeight="1" x14ac:dyDescent="0.3">
      <c r="A41" s="348"/>
      <c r="B41" s="348"/>
      <c r="C41" s="329"/>
      <c r="D41" s="329"/>
      <c r="E41" s="329"/>
      <c r="F41" s="329"/>
      <c r="G41" s="329"/>
      <c r="H41" s="331"/>
      <c r="I41" s="343"/>
      <c r="J41" s="346"/>
      <c r="K41" s="347"/>
      <c r="L41" s="344"/>
      <c r="M41" s="337"/>
      <c r="N41" s="338"/>
      <c r="O41" s="329"/>
      <c r="P41" s="348"/>
      <c r="Q41" s="329"/>
      <c r="R41" s="329"/>
      <c r="S41" s="329"/>
      <c r="T41" s="329"/>
      <c r="U41" s="329"/>
      <c r="V41" s="331"/>
      <c r="W41" s="331"/>
    </row>
    <row r="42" spans="1:26" ht="15" customHeight="1" x14ac:dyDescent="0.3">
      <c r="A42" s="348"/>
      <c r="B42" s="348"/>
      <c r="C42" s="329"/>
      <c r="D42" s="329"/>
      <c r="E42" s="329"/>
      <c r="F42" s="329"/>
      <c r="G42" s="329"/>
      <c r="H42" s="331"/>
      <c r="I42" s="343"/>
      <c r="J42" s="346"/>
      <c r="K42" s="347"/>
      <c r="L42" s="344"/>
      <c r="M42" s="337"/>
      <c r="N42" s="338"/>
      <c r="O42" s="329"/>
      <c r="P42" s="348"/>
      <c r="Q42" s="329"/>
      <c r="R42" s="329"/>
      <c r="S42" s="329"/>
      <c r="T42" s="329"/>
      <c r="U42" s="329"/>
      <c r="V42" s="331"/>
      <c r="W42" s="331"/>
    </row>
    <row r="43" spans="1:26" ht="15" customHeight="1" x14ac:dyDescent="0.3">
      <c r="A43" s="348"/>
      <c r="B43" s="348"/>
      <c r="C43" s="329"/>
      <c r="D43" s="329"/>
      <c r="E43" s="329"/>
      <c r="F43" s="329"/>
      <c r="G43" s="329"/>
      <c r="H43" s="331"/>
      <c r="I43" s="343"/>
      <c r="J43" s="346"/>
      <c r="K43" s="347"/>
      <c r="L43" s="344"/>
      <c r="M43" s="337"/>
      <c r="N43" s="338"/>
      <c r="O43" s="329"/>
      <c r="P43" s="348"/>
      <c r="Q43" s="329"/>
      <c r="R43" s="329"/>
      <c r="S43" s="329"/>
      <c r="T43" s="329"/>
      <c r="U43" s="329"/>
      <c r="V43" s="331"/>
      <c r="W43" s="331"/>
    </row>
    <row r="44" spans="1:26" ht="15" customHeight="1" x14ac:dyDescent="0.3">
      <c r="A44" s="348"/>
      <c r="B44" s="348"/>
      <c r="C44" s="329"/>
      <c r="D44" s="329"/>
      <c r="E44" s="329"/>
      <c r="F44" s="329"/>
      <c r="G44" s="329"/>
      <c r="H44" s="331"/>
      <c r="I44" s="343"/>
      <c r="J44" s="403">
        <f>Feuil2!D25</f>
        <v>3</v>
      </c>
      <c r="K44" s="352" t="s">
        <v>78</v>
      </c>
      <c r="L44" s="344"/>
      <c r="M44" s="354">
        <f>Feuil2!G34</f>
        <v>0</v>
      </c>
      <c r="N44" s="352" t="s">
        <v>78</v>
      </c>
      <c r="O44" s="329"/>
      <c r="P44" s="348"/>
      <c r="Q44" s="329"/>
      <c r="R44" s="329"/>
      <c r="S44" s="329"/>
      <c r="T44" s="329"/>
      <c r="U44" s="329"/>
      <c r="V44" s="331"/>
      <c r="W44" s="331"/>
    </row>
    <row r="45" spans="1:26" ht="15" customHeight="1" x14ac:dyDescent="0.3">
      <c r="A45" s="348"/>
      <c r="B45" s="348"/>
      <c r="C45" s="329"/>
      <c r="D45" s="329"/>
      <c r="E45" s="329"/>
      <c r="F45" s="329"/>
      <c r="G45" s="329"/>
      <c r="H45" s="331"/>
      <c r="I45" s="343"/>
      <c r="J45" s="403"/>
      <c r="K45" s="352"/>
      <c r="L45" s="344"/>
      <c r="M45" s="354"/>
      <c r="N45" s="352"/>
      <c r="O45" s="329"/>
      <c r="P45" s="348"/>
      <c r="Q45" s="329"/>
      <c r="R45" s="329"/>
      <c r="S45" s="329"/>
      <c r="T45" s="329"/>
      <c r="U45" s="329"/>
      <c r="V45" s="331"/>
      <c r="W45" s="331"/>
    </row>
    <row r="46" spans="1:26" ht="15" customHeight="1" thickBot="1" x14ac:dyDescent="0.35">
      <c r="A46" s="348"/>
      <c r="B46" s="349"/>
      <c r="C46" s="350"/>
      <c r="D46" s="350"/>
      <c r="E46" s="350"/>
      <c r="F46" s="350"/>
      <c r="G46" s="350"/>
      <c r="H46" s="351"/>
      <c r="I46" s="343"/>
      <c r="J46" s="404"/>
      <c r="K46" s="353"/>
      <c r="L46" s="344"/>
      <c r="M46" s="355"/>
      <c r="N46" s="353"/>
      <c r="O46" s="329"/>
      <c r="P46" s="349"/>
      <c r="Q46" s="350"/>
      <c r="R46" s="350"/>
      <c r="S46" s="350"/>
      <c r="T46" s="350"/>
      <c r="U46" s="350"/>
      <c r="V46" s="351"/>
      <c r="W46" s="331"/>
    </row>
    <row r="47" spans="1:26" ht="15.75" customHeight="1" thickBot="1" x14ac:dyDescent="0.35">
      <c r="A47" s="349"/>
      <c r="B47" s="350"/>
      <c r="C47" s="350"/>
      <c r="D47" s="350"/>
      <c r="E47" s="350"/>
      <c r="F47" s="350"/>
      <c r="G47" s="350"/>
      <c r="H47" s="350"/>
      <c r="I47" s="381"/>
      <c r="J47" s="84"/>
      <c r="K47" s="84"/>
      <c r="L47" s="381"/>
      <c r="M47" s="84"/>
      <c r="N47" s="84"/>
      <c r="O47" s="350"/>
      <c r="P47" s="339"/>
      <c r="Q47" s="339"/>
      <c r="R47" s="339"/>
      <c r="S47" s="339"/>
      <c r="T47" s="339"/>
      <c r="U47" s="339"/>
      <c r="V47" s="339"/>
      <c r="W47" s="351"/>
    </row>
  </sheetData>
  <mergeCells count="108">
    <mergeCell ref="T23:V23"/>
    <mergeCell ref="P30:V46"/>
    <mergeCell ref="W28:W47"/>
    <mergeCell ref="A27:A46"/>
    <mergeCell ref="A47:H47"/>
    <mergeCell ref="J28:K29"/>
    <mergeCell ref="L28:L47"/>
    <mergeCell ref="Z33:Z35"/>
    <mergeCell ref="Y36:Y38"/>
    <mergeCell ref="Z36:Z38"/>
    <mergeCell ref="Y27:Y28"/>
    <mergeCell ref="Z27:Z28"/>
    <mergeCell ref="Y29:Y30"/>
    <mergeCell ref="Z29:Z30"/>
    <mergeCell ref="Y31:Y32"/>
    <mergeCell ref="Z31:Z32"/>
    <mergeCell ref="Y33:Y35"/>
    <mergeCell ref="M37:N37"/>
    <mergeCell ref="O28:O47"/>
    <mergeCell ref="M44:M46"/>
    <mergeCell ref="N44:N46"/>
    <mergeCell ref="M28:N33"/>
    <mergeCell ref="A6:W6"/>
    <mergeCell ref="J10:K10"/>
    <mergeCell ref="A26:W26"/>
    <mergeCell ref="B27:W27"/>
    <mergeCell ref="D23:D24"/>
    <mergeCell ref="I28:I47"/>
    <mergeCell ref="Q23:Q24"/>
    <mergeCell ref="R23:S24"/>
    <mergeCell ref="M34:M36"/>
    <mergeCell ref="N34:N36"/>
    <mergeCell ref="B8:L9"/>
    <mergeCell ref="B10:E10"/>
    <mergeCell ref="N17:R18"/>
    <mergeCell ref="A21:W21"/>
    <mergeCell ref="S17:V18"/>
    <mergeCell ref="M8:M18"/>
    <mergeCell ref="E23:F24"/>
    <mergeCell ref="G23:I23"/>
    <mergeCell ref="O22:P24"/>
    <mergeCell ref="D22:I22"/>
    <mergeCell ref="Q22:V22"/>
    <mergeCell ref="J44:J46"/>
    <mergeCell ref="B28:H29"/>
    <mergeCell ref="A25:W25"/>
    <mergeCell ref="D17:E18"/>
    <mergeCell ref="J11:K11"/>
    <mergeCell ref="F13:G13"/>
    <mergeCell ref="P8:V9"/>
    <mergeCell ref="J13:K13"/>
    <mergeCell ref="T13:U13"/>
    <mergeCell ref="B12:E12"/>
    <mergeCell ref="Q10:R10"/>
    <mergeCell ref="T10:U10"/>
    <mergeCell ref="B11:E11"/>
    <mergeCell ref="F10:G10"/>
    <mergeCell ref="J12:K12"/>
    <mergeCell ref="F11:G11"/>
    <mergeCell ref="F12:G12"/>
    <mergeCell ref="B1:D4"/>
    <mergeCell ref="U1:W4"/>
    <mergeCell ref="E1:T1"/>
    <mergeCell ref="E2:T2"/>
    <mergeCell ref="E3:T4"/>
    <mergeCell ref="M38:N43"/>
    <mergeCell ref="P47:V47"/>
    <mergeCell ref="P28:V29"/>
    <mergeCell ref="J30:K33"/>
    <mergeCell ref="B30:H46"/>
    <mergeCell ref="K44:K46"/>
    <mergeCell ref="J34:J36"/>
    <mergeCell ref="K34:K36"/>
    <mergeCell ref="J38:K39"/>
    <mergeCell ref="J40:K43"/>
    <mergeCell ref="J37:K37"/>
    <mergeCell ref="A5:W5"/>
    <mergeCell ref="A7:W7"/>
    <mergeCell ref="H15:I18"/>
    <mergeCell ref="O15:P15"/>
    <mergeCell ref="Q15:R15"/>
    <mergeCell ref="T15:U15"/>
    <mergeCell ref="B13:E13"/>
    <mergeCell ref="B15:C18"/>
    <mergeCell ref="Z21:Z22"/>
    <mergeCell ref="Y21:Y23"/>
    <mergeCell ref="Y14:Y15"/>
    <mergeCell ref="O10:P10"/>
    <mergeCell ref="O11:P11"/>
    <mergeCell ref="Q11:R11"/>
    <mergeCell ref="T11:U11"/>
    <mergeCell ref="Q13:R13"/>
    <mergeCell ref="Q14:R14"/>
    <mergeCell ref="T14:U14"/>
    <mergeCell ref="O12:P12"/>
    <mergeCell ref="Q12:R12"/>
    <mergeCell ref="T12:U12"/>
    <mergeCell ref="A20:W20"/>
    <mergeCell ref="O13:P13"/>
    <mergeCell ref="O14:P14"/>
    <mergeCell ref="Y16:Y17"/>
    <mergeCell ref="Z18:Z19"/>
    <mergeCell ref="Y18:Y20"/>
    <mergeCell ref="J15:L16"/>
    <mergeCell ref="J17:K18"/>
    <mergeCell ref="L17:L18"/>
    <mergeCell ref="F17:F18"/>
    <mergeCell ref="D15:F16"/>
  </mergeCells>
  <conditionalFormatting sqref="G24">
    <cfRule type="cellIs" dxfId="5" priority="6" operator="greaterThan">
      <formula>2</formula>
    </cfRule>
  </conditionalFormatting>
  <conditionalFormatting sqref="D23:D24">
    <cfRule type="cellIs" dxfId="4" priority="3" operator="greaterThan">
      <formula>4</formula>
    </cfRule>
    <cfRule type="cellIs" dxfId="3" priority="5" operator="greaterThan">
      <formula>3</formula>
    </cfRule>
  </conditionalFormatting>
  <conditionalFormatting sqref="T24">
    <cfRule type="cellIs" dxfId="2" priority="1" operator="greaterThan">
      <formula>2</formula>
    </cfRule>
    <cfRule type="cellIs" dxfId="1" priority="4" operator="greaterThan">
      <formula>2</formula>
    </cfRule>
  </conditionalFormatting>
  <conditionalFormatting sqref="Q23:Q24">
    <cfRule type="cellIs" dxfId="0" priority="2" operator="greaterThan">
      <formula>3</formula>
    </cfRule>
  </conditionalFormatting>
  <pageMargins left="0.23622047244094491" right="0.23622047244094491" top="0.74803149606299213" bottom="0.74803149606299213" header="0.31496062992125984" footer="0.31496062992125984"/>
  <pageSetup paperSize="9" scale="50" orientation="landscape" verticalDpi="597"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P45"/>
  <sheetViews>
    <sheetView workbookViewId="0">
      <selection activeCell="G17" sqref="G16:G18"/>
    </sheetView>
  </sheetViews>
  <sheetFormatPr baseColWidth="10" defaultRowHeight="15" x14ac:dyDescent="0.25"/>
  <cols>
    <col min="1" max="1" width="5.42578125" style="53" customWidth="1"/>
    <col min="2" max="2" width="54.85546875" customWidth="1"/>
    <col min="15" max="15" width="22.7109375" customWidth="1"/>
  </cols>
  <sheetData>
    <row r="1" spans="1:16" x14ac:dyDescent="0.25">
      <c r="B1" s="2"/>
      <c r="C1" s="2"/>
      <c r="D1" s="2"/>
      <c r="E1" s="2"/>
      <c r="F1" s="2"/>
      <c r="G1" s="2"/>
      <c r="H1" s="2"/>
      <c r="I1" s="2"/>
      <c r="J1" s="2"/>
      <c r="K1" s="2"/>
      <c r="L1" s="2"/>
      <c r="M1" s="2"/>
      <c r="N1" s="2"/>
      <c r="O1" s="2"/>
      <c r="P1" s="2"/>
    </row>
    <row r="2" spans="1:16" x14ac:dyDescent="0.25">
      <c r="B2" s="2"/>
      <c r="C2" s="2"/>
      <c r="D2" s="2"/>
      <c r="E2" s="2"/>
      <c r="F2" s="2"/>
      <c r="G2" s="2"/>
      <c r="H2" s="2"/>
      <c r="I2" s="2"/>
      <c r="J2" s="2"/>
      <c r="K2" s="2"/>
      <c r="L2" s="2"/>
      <c r="M2" s="2"/>
      <c r="N2" s="2"/>
      <c r="O2" s="2"/>
      <c r="P2" s="2"/>
    </row>
    <row r="3" spans="1:16" x14ac:dyDescent="0.25">
      <c r="B3" s="2"/>
      <c r="C3" s="53" t="s">
        <v>24</v>
      </c>
      <c r="D3" s="53" t="s">
        <v>69</v>
      </c>
      <c r="E3" s="53" t="s">
        <v>25</v>
      </c>
      <c r="F3" s="53" t="s">
        <v>26</v>
      </c>
      <c r="G3" s="53" t="s">
        <v>27</v>
      </c>
      <c r="H3" s="53" t="s">
        <v>28</v>
      </c>
      <c r="I3" s="53" t="s">
        <v>29</v>
      </c>
      <c r="J3" s="53" t="s">
        <v>30</v>
      </c>
      <c r="K3" s="53" t="s">
        <v>31</v>
      </c>
      <c r="L3" s="53" t="s">
        <v>32</v>
      </c>
      <c r="M3" s="53" t="s">
        <v>33</v>
      </c>
      <c r="N3" s="53" t="s">
        <v>34</v>
      </c>
      <c r="O3" s="53" t="s">
        <v>93</v>
      </c>
      <c r="P3" s="2"/>
    </row>
    <row r="4" spans="1:16" ht="20.100000000000001" customHeight="1" x14ac:dyDescent="0.25">
      <c r="A4" s="53">
        <v>1</v>
      </c>
      <c r="B4" s="8" t="s">
        <v>70</v>
      </c>
      <c r="C4" s="53">
        <v>22</v>
      </c>
      <c r="D4" s="53">
        <v>20</v>
      </c>
      <c r="E4" s="53">
        <v>19</v>
      </c>
      <c r="F4" s="53">
        <v>21</v>
      </c>
      <c r="G4" s="53">
        <v>21</v>
      </c>
      <c r="H4" s="53">
        <v>19</v>
      </c>
      <c r="I4" s="53">
        <v>22</v>
      </c>
      <c r="J4" s="53">
        <v>20</v>
      </c>
      <c r="K4" s="53">
        <v>21</v>
      </c>
      <c r="L4" s="53">
        <v>22</v>
      </c>
      <c r="M4" s="53">
        <v>20</v>
      </c>
      <c r="N4" s="53">
        <v>22</v>
      </c>
      <c r="O4" s="53">
        <f>SUM(C4:N4)</f>
        <v>249</v>
      </c>
      <c r="P4" s="2"/>
    </row>
    <row r="5" spans="1:16" ht="20.100000000000001" customHeight="1" x14ac:dyDescent="0.25">
      <c r="A5" s="300">
        <v>2</v>
      </c>
      <c r="B5" s="54" t="s">
        <v>71</v>
      </c>
      <c r="C5" s="1">
        <v>0</v>
      </c>
      <c r="D5" s="1">
        <v>2</v>
      </c>
      <c r="E5" s="1">
        <v>0</v>
      </c>
      <c r="F5" s="1"/>
      <c r="G5" s="1"/>
      <c r="H5" s="1"/>
      <c r="I5" s="1"/>
      <c r="J5" s="1"/>
      <c r="K5" s="1"/>
      <c r="L5" s="1"/>
      <c r="M5" s="1"/>
      <c r="N5" s="1"/>
      <c r="O5" s="53">
        <f t="shared" ref="O5:O6" si="0">SUM(C5:N5)</f>
        <v>2</v>
      </c>
      <c r="P5" s="2"/>
    </row>
    <row r="6" spans="1:16" ht="20.100000000000001" customHeight="1" x14ac:dyDescent="0.25">
      <c r="A6" s="300"/>
      <c r="B6" s="8" t="s">
        <v>72</v>
      </c>
      <c r="C6" s="1">
        <v>0</v>
      </c>
      <c r="D6" s="1">
        <v>0</v>
      </c>
      <c r="E6" s="1">
        <v>0</v>
      </c>
      <c r="F6" s="1"/>
      <c r="G6" s="1"/>
      <c r="H6" s="1"/>
      <c r="I6" s="1"/>
      <c r="J6" s="1"/>
      <c r="K6" s="1"/>
      <c r="L6" s="1"/>
      <c r="M6" s="1"/>
      <c r="N6" s="1"/>
      <c r="O6" s="53">
        <f t="shared" si="0"/>
        <v>0</v>
      </c>
      <c r="P6" s="2"/>
    </row>
    <row r="7" spans="1:16" ht="20.100000000000001" customHeight="1" x14ac:dyDescent="0.25">
      <c r="A7" s="300"/>
      <c r="B7" s="8" t="s">
        <v>73</v>
      </c>
      <c r="C7" s="53">
        <f>SUM(C5:C6)</f>
        <v>0</v>
      </c>
      <c r="D7" s="53">
        <f t="shared" ref="D7:N7" si="1">SUM(D5:D6)</f>
        <v>2</v>
      </c>
      <c r="E7" s="53">
        <f t="shared" si="1"/>
        <v>0</v>
      </c>
      <c r="F7" s="53">
        <f t="shared" si="1"/>
        <v>0</v>
      </c>
      <c r="G7" s="53">
        <f t="shared" si="1"/>
        <v>0</v>
      </c>
      <c r="H7" s="53">
        <f t="shared" si="1"/>
        <v>0</v>
      </c>
      <c r="I7" s="53">
        <f t="shared" si="1"/>
        <v>0</v>
      </c>
      <c r="J7" s="53">
        <f t="shared" si="1"/>
        <v>0</v>
      </c>
      <c r="K7" s="53">
        <f t="shared" si="1"/>
        <v>0</v>
      </c>
      <c r="L7" s="53">
        <f t="shared" si="1"/>
        <v>0</v>
      </c>
      <c r="M7" s="53">
        <f t="shared" si="1"/>
        <v>0</v>
      </c>
      <c r="N7" s="53">
        <f t="shared" si="1"/>
        <v>0</v>
      </c>
      <c r="O7" s="2"/>
      <c r="P7" s="2"/>
    </row>
    <row r="8" spans="1:16" ht="20.100000000000001" customHeight="1" x14ac:dyDescent="0.25">
      <c r="A8" s="53">
        <v>3</v>
      </c>
      <c r="B8" s="8" t="s">
        <v>88</v>
      </c>
      <c r="C8" s="57">
        <f>(C4-C7)/C4</f>
        <v>1</v>
      </c>
      <c r="D8" s="57">
        <f>(D4-D7)/D4</f>
        <v>0.9</v>
      </c>
      <c r="E8" s="57">
        <f t="shared" ref="E8:N8" si="2">(E4-E7)/E4</f>
        <v>1</v>
      </c>
      <c r="F8" s="57">
        <f t="shared" si="2"/>
        <v>1</v>
      </c>
      <c r="G8" s="57">
        <f t="shared" si="2"/>
        <v>1</v>
      </c>
      <c r="H8" s="57">
        <f t="shared" si="2"/>
        <v>1</v>
      </c>
      <c r="I8" s="57">
        <f t="shared" si="2"/>
        <v>1</v>
      </c>
      <c r="J8" s="57">
        <f t="shared" si="2"/>
        <v>1</v>
      </c>
      <c r="K8" s="57">
        <f t="shared" si="2"/>
        <v>1</v>
      </c>
      <c r="L8" s="57">
        <f t="shared" si="2"/>
        <v>1</v>
      </c>
      <c r="M8" s="57">
        <f t="shared" si="2"/>
        <v>1</v>
      </c>
      <c r="N8" s="57">
        <f t="shared" si="2"/>
        <v>1</v>
      </c>
      <c r="O8" s="57">
        <f>AVERAGE(C8:D8)</f>
        <v>0.95</v>
      </c>
      <c r="P8" s="58">
        <f>100%-O8</f>
        <v>5.0000000000000044E-2</v>
      </c>
    </row>
    <row r="9" spans="1:16" ht="20.100000000000001" customHeight="1" x14ac:dyDescent="0.25">
      <c r="A9" s="300">
        <v>4</v>
      </c>
      <c r="B9" s="8" t="s">
        <v>95</v>
      </c>
      <c r="C9" s="1">
        <v>14</v>
      </c>
      <c r="D9" s="1">
        <v>17</v>
      </c>
      <c r="E9" s="1">
        <v>5</v>
      </c>
      <c r="F9" s="1"/>
      <c r="G9" s="1"/>
      <c r="H9" s="1"/>
      <c r="I9" s="1"/>
      <c r="J9" s="1"/>
      <c r="K9" s="1"/>
      <c r="L9" s="1"/>
      <c r="M9" s="1"/>
      <c r="N9" s="1"/>
      <c r="O9" s="53">
        <f t="shared" ref="O9" si="3">SUM(C9:N9)</f>
        <v>36</v>
      </c>
      <c r="P9" s="2"/>
    </row>
    <row r="10" spans="1:16" ht="20.100000000000001" customHeight="1" x14ac:dyDescent="0.25">
      <c r="A10" s="300"/>
      <c r="B10" s="8" t="s">
        <v>96</v>
      </c>
      <c r="C10" s="57">
        <f>C9/C4</f>
        <v>0.63636363636363635</v>
      </c>
      <c r="D10" s="57">
        <f t="shared" ref="D10:N10" si="4">D9/D4</f>
        <v>0.85</v>
      </c>
      <c r="E10" s="57">
        <f t="shared" si="4"/>
        <v>0.26315789473684209</v>
      </c>
      <c r="F10" s="57">
        <f t="shared" si="4"/>
        <v>0</v>
      </c>
      <c r="G10" s="57">
        <f t="shared" si="4"/>
        <v>0</v>
      </c>
      <c r="H10" s="57">
        <f t="shared" si="4"/>
        <v>0</v>
      </c>
      <c r="I10" s="57">
        <f t="shared" si="4"/>
        <v>0</v>
      </c>
      <c r="J10" s="57">
        <f t="shared" si="4"/>
        <v>0</v>
      </c>
      <c r="K10" s="57">
        <f t="shared" si="4"/>
        <v>0</v>
      </c>
      <c r="L10" s="57">
        <f t="shared" si="4"/>
        <v>0</v>
      </c>
      <c r="M10" s="57">
        <f t="shared" si="4"/>
        <v>0</v>
      </c>
      <c r="N10" s="57">
        <f t="shared" si="4"/>
        <v>0</v>
      </c>
      <c r="O10" s="57">
        <f>AVERAGE(C10:D10)</f>
        <v>0.74318181818181817</v>
      </c>
      <c r="P10" s="58">
        <f>100%-O10</f>
        <v>0.25681818181818183</v>
      </c>
    </row>
    <row r="11" spans="1:16" ht="20.100000000000001" customHeight="1" x14ac:dyDescent="0.25">
      <c r="B11" s="2"/>
      <c r="C11" s="2"/>
      <c r="D11" s="2"/>
      <c r="E11" s="2"/>
      <c r="F11" s="2"/>
      <c r="G11" s="2"/>
      <c r="H11" s="2"/>
      <c r="I11" s="2"/>
      <c r="J11" s="2"/>
      <c r="K11" s="2"/>
      <c r="L11" s="2"/>
      <c r="M11" s="2"/>
      <c r="N11" s="2"/>
      <c r="O11" s="2"/>
      <c r="P11" s="2"/>
    </row>
    <row r="12" spans="1:16" x14ac:dyDescent="0.25">
      <c r="B12" s="2"/>
      <c r="C12" s="2"/>
      <c r="D12" s="2"/>
      <c r="E12" s="2"/>
      <c r="F12" s="2"/>
      <c r="G12" s="2"/>
      <c r="H12" s="2"/>
      <c r="I12" s="2"/>
      <c r="J12" s="2"/>
      <c r="K12" s="2"/>
      <c r="L12" s="2"/>
      <c r="M12" s="2"/>
      <c r="N12" s="2"/>
      <c r="O12" s="2"/>
      <c r="P12" s="2"/>
    </row>
    <row r="13" spans="1:16" x14ac:dyDescent="0.25">
      <c r="B13" s="2"/>
      <c r="C13" s="2"/>
      <c r="D13" s="2"/>
      <c r="E13" s="2"/>
      <c r="F13" s="2"/>
      <c r="G13" s="2"/>
      <c r="H13" s="2"/>
      <c r="I13" s="2"/>
      <c r="J13" s="2"/>
      <c r="K13" s="2"/>
      <c r="L13" s="2"/>
      <c r="M13" s="2"/>
      <c r="N13" s="2"/>
      <c r="O13" s="2"/>
      <c r="P13" s="2"/>
    </row>
    <row r="14" spans="1:16" x14ac:dyDescent="0.25">
      <c r="B14" s="2"/>
      <c r="C14" s="2"/>
      <c r="D14" s="2"/>
      <c r="E14" s="2"/>
      <c r="F14" s="2"/>
      <c r="G14" s="2"/>
      <c r="H14" s="2"/>
      <c r="I14" s="2"/>
      <c r="J14" s="2"/>
      <c r="K14" s="2"/>
      <c r="L14" s="2"/>
      <c r="M14" s="2"/>
      <c r="N14" s="2"/>
      <c r="O14" s="2"/>
      <c r="P14" s="2"/>
    </row>
    <row r="15" spans="1:16" x14ac:dyDescent="0.25">
      <c r="B15" s="2"/>
      <c r="C15" s="2"/>
      <c r="D15" s="2"/>
      <c r="E15" s="2"/>
      <c r="F15" s="2"/>
      <c r="G15" s="2"/>
      <c r="H15" s="2"/>
      <c r="I15" s="2"/>
      <c r="J15" s="2"/>
      <c r="K15" s="2"/>
      <c r="L15" s="2"/>
      <c r="M15" s="2"/>
      <c r="N15" s="2"/>
      <c r="O15" s="2"/>
      <c r="P15" s="2"/>
    </row>
    <row r="16" spans="1:16" x14ac:dyDescent="0.25">
      <c r="B16" s="2"/>
      <c r="C16" s="2"/>
      <c r="D16" s="2"/>
      <c r="E16" s="2"/>
      <c r="F16" s="2"/>
      <c r="G16" s="2">
        <f>45/47</f>
        <v>0.95744680851063835</v>
      </c>
      <c r="H16" s="2"/>
      <c r="I16" s="2"/>
      <c r="J16" s="2"/>
      <c r="K16" s="2"/>
      <c r="L16" s="2"/>
      <c r="M16" s="2"/>
      <c r="N16" s="2"/>
      <c r="O16" s="2"/>
      <c r="P16" s="2"/>
    </row>
    <row r="17" spans="2:16" x14ac:dyDescent="0.25">
      <c r="B17" s="2"/>
      <c r="C17" s="2"/>
      <c r="D17" s="2"/>
      <c r="E17" s="2"/>
      <c r="F17" s="2"/>
      <c r="G17" s="2"/>
      <c r="H17" s="2"/>
      <c r="I17" s="2"/>
      <c r="J17" s="2"/>
      <c r="K17" s="2"/>
      <c r="L17" s="2"/>
      <c r="M17" s="2"/>
      <c r="N17" s="2"/>
      <c r="O17" s="2"/>
      <c r="P17" s="2"/>
    </row>
    <row r="18" spans="2:16" x14ac:dyDescent="0.25">
      <c r="B18" s="2"/>
      <c r="C18" s="2"/>
      <c r="D18" s="2"/>
      <c r="E18" s="2"/>
      <c r="F18" s="2"/>
      <c r="G18" s="2"/>
      <c r="H18" s="2"/>
      <c r="I18" s="2"/>
      <c r="J18" s="2"/>
      <c r="K18" s="2"/>
      <c r="L18" s="2"/>
      <c r="M18" s="2"/>
      <c r="N18" s="2"/>
      <c r="O18" s="2"/>
      <c r="P18" s="2"/>
    </row>
    <row r="19" spans="2:16" x14ac:dyDescent="0.25">
      <c r="B19" s="2"/>
      <c r="C19" s="2"/>
      <c r="D19" s="2"/>
      <c r="E19" s="2"/>
      <c r="F19" s="2"/>
      <c r="G19" s="2"/>
      <c r="H19" s="2"/>
      <c r="I19" s="2"/>
      <c r="J19" s="2"/>
      <c r="K19" s="2"/>
      <c r="L19" s="2"/>
      <c r="M19" s="2"/>
      <c r="N19" s="2"/>
      <c r="O19" s="2"/>
      <c r="P19" s="2"/>
    </row>
    <row r="20" spans="2:16" x14ac:dyDescent="0.25">
      <c r="B20" s="2"/>
      <c r="C20" s="2"/>
      <c r="D20" s="2"/>
      <c r="E20" s="2"/>
      <c r="F20" s="2"/>
      <c r="G20" s="2"/>
      <c r="H20" s="2"/>
      <c r="I20" s="2"/>
      <c r="J20" s="2"/>
      <c r="K20" s="2"/>
      <c r="L20" s="2"/>
      <c r="M20" s="2"/>
      <c r="N20" s="2"/>
      <c r="O20" s="2"/>
      <c r="P20" s="2"/>
    </row>
    <row r="21" spans="2:16" x14ac:dyDescent="0.25">
      <c r="B21" s="2"/>
      <c r="C21" s="2"/>
      <c r="D21" s="2"/>
      <c r="E21" s="2"/>
      <c r="F21" s="2"/>
      <c r="G21" s="2"/>
      <c r="H21" s="2"/>
      <c r="I21" s="2"/>
      <c r="J21" s="2"/>
      <c r="K21" s="2"/>
      <c r="L21" s="2"/>
      <c r="M21" s="2"/>
      <c r="N21" s="2"/>
      <c r="O21" s="2"/>
      <c r="P21" s="2"/>
    </row>
    <row r="22" spans="2:16" x14ac:dyDescent="0.25">
      <c r="B22" s="2"/>
      <c r="C22" s="2"/>
      <c r="D22" s="2"/>
      <c r="E22" s="2"/>
      <c r="F22" s="2"/>
      <c r="G22" s="2"/>
      <c r="H22" s="2"/>
      <c r="I22" s="2"/>
      <c r="J22" s="2"/>
      <c r="K22" s="2"/>
      <c r="L22" s="2"/>
      <c r="M22" s="2"/>
      <c r="N22" s="2"/>
      <c r="O22" s="2"/>
      <c r="P22" s="2"/>
    </row>
    <row r="23" spans="2:16" x14ac:dyDescent="0.25">
      <c r="B23" s="2"/>
      <c r="C23" s="2"/>
      <c r="D23" s="2"/>
      <c r="E23" s="2"/>
      <c r="F23" s="2"/>
      <c r="G23" s="2"/>
      <c r="H23" s="2"/>
      <c r="I23" s="2"/>
      <c r="J23" s="2"/>
      <c r="K23" s="2"/>
      <c r="L23" s="2"/>
      <c r="M23" s="2"/>
      <c r="N23" s="2"/>
      <c r="O23" s="2"/>
      <c r="P23" s="2"/>
    </row>
    <row r="24" spans="2:16" x14ac:dyDescent="0.25">
      <c r="B24" s="51" t="s">
        <v>74</v>
      </c>
      <c r="C24" s="51" t="s">
        <v>75</v>
      </c>
      <c r="D24" s="51">
        <f ca="1">C27-C26</f>
        <v>400</v>
      </c>
      <c r="E24" s="51" t="s">
        <v>78</v>
      </c>
      <c r="F24" s="2"/>
      <c r="G24" s="2"/>
      <c r="H24" s="2"/>
      <c r="I24" s="2"/>
      <c r="J24" s="2"/>
      <c r="K24" s="2"/>
      <c r="L24" s="2"/>
      <c r="M24" s="2"/>
      <c r="N24" s="2"/>
      <c r="O24" s="2"/>
      <c r="P24" s="2"/>
    </row>
    <row r="25" spans="2:16" x14ac:dyDescent="0.25">
      <c r="B25" s="51" t="s">
        <v>79</v>
      </c>
      <c r="C25" s="51" t="s">
        <v>80</v>
      </c>
      <c r="D25" s="61">
        <f>AVERAGE(D30,D33,D36)</f>
        <v>3</v>
      </c>
      <c r="E25" s="51" t="s">
        <v>78</v>
      </c>
      <c r="F25" s="2"/>
      <c r="G25" s="2"/>
      <c r="H25" s="2"/>
      <c r="I25" s="2"/>
      <c r="J25" s="2"/>
      <c r="K25" s="2"/>
      <c r="L25" s="2"/>
      <c r="M25" s="2"/>
      <c r="N25" s="2"/>
      <c r="O25" s="2"/>
      <c r="P25" s="2"/>
    </row>
    <row r="26" spans="2:16" x14ac:dyDescent="0.25">
      <c r="B26" s="8" t="s">
        <v>97</v>
      </c>
      <c r="C26" s="55">
        <v>45509</v>
      </c>
      <c r="D26" s="56"/>
      <c r="E26" s="8"/>
      <c r="F26" s="2"/>
      <c r="G26" s="2"/>
      <c r="H26" s="2"/>
      <c r="I26" s="2"/>
      <c r="J26" s="2"/>
      <c r="K26" s="2"/>
      <c r="L26" s="2"/>
      <c r="M26" s="2"/>
      <c r="N26" s="2"/>
      <c r="O26" s="2"/>
      <c r="P26" s="2"/>
    </row>
    <row r="27" spans="2:16" x14ac:dyDescent="0.25">
      <c r="B27" s="8" t="s">
        <v>90</v>
      </c>
      <c r="C27" s="59">
        <f ca="1">TODAY()</f>
        <v>45909</v>
      </c>
      <c r="D27" s="2"/>
      <c r="E27" s="2"/>
      <c r="F27" s="2"/>
      <c r="G27" s="2"/>
      <c r="H27" s="2"/>
      <c r="I27" s="2"/>
      <c r="J27" s="2"/>
      <c r="K27" s="2"/>
      <c r="L27" s="2"/>
      <c r="M27" s="2"/>
      <c r="N27" s="2"/>
      <c r="O27" s="2"/>
      <c r="P27" s="2"/>
    </row>
    <row r="28" spans="2:16" x14ac:dyDescent="0.25">
      <c r="B28" s="62" t="s">
        <v>76</v>
      </c>
      <c r="C28" s="63">
        <v>45506</v>
      </c>
      <c r="D28" s="62"/>
      <c r="E28" s="62"/>
      <c r="F28" s="2"/>
      <c r="G28" s="2"/>
      <c r="H28" s="2"/>
      <c r="I28" s="2"/>
      <c r="J28" s="2"/>
      <c r="K28" s="2"/>
      <c r="L28" s="2"/>
      <c r="M28" s="2"/>
      <c r="N28" s="2"/>
      <c r="O28" s="2"/>
      <c r="P28" s="2"/>
    </row>
    <row r="29" spans="2:16" x14ac:dyDescent="0.25">
      <c r="B29" s="62" t="s">
        <v>77</v>
      </c>
      <c r="C29" s="63">
        <v>45509</v>
      </c>
      <c r="D29" s="62"/>
      <c r="E29" s="62"/>
      <c r="F29" s="2"/>
      <c r="G29" s="2"/>
      <c r="H29" s="2"/>
      <c r="I29" s="2"/>
      <c r="J29" s="2"/>
      <c r="K29" s="2"/>
      <c r="L29" s="2"/>
      <c r="M29" s="2"/>
      <c r="N29" s="2"/>
      <c r="O29" s="2"/>
      <c r="P29" s="2"/>
    </row>
    <row r="30" spans="2:16" x14ac:dyDescent="0.25">
      <c r="B30" s="62" t="s">
        <v>81</v>
      </c>
      <c r="C30" s="63"/>
      <c r="D30" s="64">
        <f>C29-C28</f>
        <v>3</v>
      </c>
      <c r="E30" s="62" t="s">
        <v>78</v>
      </c>
      <c r="F30" s="2"/>
      <c r="G30" s="2"/>
      <c r="H30" s="2"/>
      <c r="I30" s="2"/>
      <c r="J30" s="2"/>
      <c r="K30" s="2"/>
      <c r="L30" s="2"/>
      <c r="M30" s="2"/>
      <c r="N30" s="2"/>
      <c r="O30" s="2"/>
      <c r="P30" s="2"/>
    </row>
    <row r="31" spans="2:16" x14ac:dyDescent="0.25">
      <c r="B31" s="65" t="s">
        <v>82</v>
      </c>
      <c r="C31" s="66"/>
      <c r="D31" s="65"/>
      <c r="E31" s="65"/>
      <c r="F31" s="2"/>
      <c r="G31" s="2"/>
      <c r="H31" s="2"/>
      <c r="I31" s="2"/>
      <c r="J31" s="2"/>
      <c r="K31" s="2"/>
      <c r="L31" s="2"/>
      <c r="M31" s="2"/>
      <c r="N31" s="2"/>
      <c r="O31" s="2"/>
      <c r="P31" s="2"/>
    </row>
    <row r="32" spans="2:16" x14ac:dyDescent="0.25">
      <c r="B32" s="65" t="s">
        <v>83</v>
      </c>
      <c r="C32" s="67"/>
      <c r="D32" s="65"/>
      <c r="E32" s="65"/>
      <c r="F32" s="2"/>
      <c r="G32" s="2"/>
      <c r="H32" s="2"/>
      <c r="I32" s="2"/>
      <c r="J32" s="2"/>
      <c r="K32" s="2"/>
      <c r="L32" s="2"/>
      <c r="M32" s="2"/>
      <c r="N32" s="2"/>
      <c r="O32" s="2"/>
      <c r="P32" s="2"/>
    </row>
    <row r="33" spans="2:16" x14ac:dyDescent="0.25">
      <c r="B33" s="65" t="s">
        <v>84</v>
      </c>
      <c r="C33" s="67"/>
      <c r="D33" s="68"/>
      <c r="E33" s="65" t="s">
        <v>78</v>
      </c>
      <c r="F33" s="2"/>
      <c r="G33" s="2"/>
      <c r="H33" s="2"/>
      <c r="I33" s="2"/>
      <c r="J33" s="2"/>
      <c r="K33" s="2"/>
      <c r="L33" s="2"/>
      <c r="M33" s="2"/>
      <c r="N33" s="2"/>
      <c r="O33" s="2"/>
      <c r="P33" s="2"/>
    </row>
    <row r="34" spans="2:16" x14ac:dyDescent="0.25">
      <c r="B34" s="69" t="s">
        <v>85</v>
      </c>
      <c r="C34" s="70"/>
      <c r="D34" s="69"/>
      <c r="E34" s="69"/>
      <c r="F34" s="2"/>
      <c r="G34" s="2"/>
      <c r="H34" s="2"/>
      <c r="I34" s="2"/>
      <c r="J34" s="2"/>
      <c r="K34" s="2"/>
      <c r="L34" s="2"/>
      <c r="M34" s="2"/>
      <c r="N34" s="2"/>
      <c r="O34" s="2"/>
      <c r="P34" s="2"/>
    </row>
    <row r="35" spans="2:16" x14ac:dyDescent="0.25">
      <c r="B35" s="69" t="s">
        <v>86</v>
      </c>
      <c r="C35" s="71"/>
      <c r="D35" s="69"/>
      <c r="E35" s="69"/>
      <c r="F35" s="2"/>
      <c r="G35" s="2"/>
      <c r="H35" s="2"/>
      <c r="I35" s="2"/>
      <c r="J35" s="2"/>
      <c r="K35" s="2"/>
      <c r="L35" s="2"/>
      <c r="M35" s="2"/>
      <c r="N35" s="2"/>
      <c r="O35" s="2"/>
      <c r="P35" s="2"/>
    </row>
    <row r="36" spans="2:16" x14ac:dyDescent="0.25">
      <c r="B36" s="69" t="s">
        <v>87</v>
      </c>
      <c r="C36" s="71"/>
      <c r="D36" s="72"/>
      <c r="E36" s="69" t="s">
        <v>78</v>
      </c>
      <c r="F36" s="2"/>
      <c r="G36" s="2"/>
      <c r="H36" s="2"/>
      <c r="I36" s="2"/>
      <c r="J36" s="2"/>
      <c r="K36" s="2"/>
      <c r="L36" s="2"/>
      <c r="M36" s="2"/>
      <c r="N36" s="2"/>
      <c r="O36" s="2"/>
      <c r="P36" s="2"/>
    </row>
    <row r="37" spans="2:16" x14ac:dyDescent="0.25">
      <c r="B37" s="2"/>
      <c r="C37" s="2"/>
      <c r="D37" s="2"/>
      <c r="E37" s="2"/>
      <c r="F37" s="2"/>
      <c r="G37" s="2"/>
      <c r="H37" s="2"/>
      <c r="I37" s="2"/>
      <c r="J37" s="2"/>
      <c r="K37" s="2"/>
      <c r="L37" s="2"/>
      <c r="M37" s="2"/>
      <c r="N37" s="2"/>
      <c r="O37" s="2"/>
      <c r="P37" s="2"/>
    </row>
    <row r="38" spans="2:16" x14ac:dyDescent="0.25">
      <c r="B38" s="2"/>
      <c r="C38" s="2"/>
      <c r="D38" s="2"/>
      <c r="E38" s="2"/>
      <c r="F38" s="2"/>
      <c r="G38" s="2"/>
      <c r="H38" s="2"/>
      <c r="I38" s="2"/>
      <c r="J38" s="2"/>
      <c r="K38" s="2"/>
      <c r="L38" s="2"/>
      <c r="M38" s="2"/>
      <c r="N38" s="2"/>
      <c r="O38" s="2"/>
      <c r="P38" s="2"/>
    </row>
    <row r="39" spans="2:16" x14ac:dyDescent="0.25">
      <c r="B39" s="2"/>
      <c r="C39" s="2"/>
      <c r="D39" s="2"/>
      <c r="E39" s="2"/>
      <c r="F39" s="2"/>
      <c r="G39" s="2"/>
      <c r="H39" s="2"/>
      <c r="I39" s="2"/>
      <c r="J39" s="2"/>
      <c r="K39" s="2"/>
      <c r="L39" s="2"/>
      <c r="M39" s="2"/>
      <c r="N39" s="2"/>
      <c r="O39" s="2"/>
      <c r="P39" s="2"/>
    </row>
    <row r="40" spans="2:16" x14ac:dyDescent="0.25">
      <c r="B40" s="2"/>
      <c r="C40" s="2"/>
      <c r="D40" s="2"/>
      <c r="E40" s="2"/>
      <c r="F40" s="2"/>
      <c r="G40" s="2"/>
      <c r="H40" s="2"/>
      <c r="I40" s="2"/>
      <c r="J40" s="2"/>
      <c r="K40" s="2"/>
      <c r="L40" s="2"/>
      <c r="M40" s="2"/>
      <c r="N40" s="2"/>
      <c r="O40" s="2"/>
      <c r="P40" s="2"/>
    </row>
    <row r="41" spans="2:16" x14ac:dyDescent="0.25">
      <c r="B41" s="2"/>
      <c r="C41" s="2"/>
      <c r="D41" s="2"/>
      <c r="E41" s="2"/>
      <c r="F41" s="2"/>
      <c r="G41" s="2"/>
      <c r="H41" s="2"/>
      <c r="I41" s="2"/>
      <c r="J41" s="2"/>
      <c r="K41" s="2"/>
      <c r="L41" s="2"/>
      <c r="M41" s="2"/>
      <c r="N41" s="2"/>
      <c r="O41" s="2"/>
      <c r="P41" s="2"/>
    </row>
    <row r="42" spans="2:16" x14ac:dyDescent="0.25">
      <c r="B42" s="2"/>
      <c r="C42" s="2"/>
      <c r="D42" s="2"/>
      <c r="E42" s="2"/>
      <c r="F42" s="2"/>
      <c r="G42" s="2"/>
      <c r="H42" s="2"/>
      <c r="I42" s="2"/>
      <c r="J42" s="2"/>
      <c r="K42" s="2"/>
      <c r="L42" s="2"/>
      <c r="M42" s="2"/>
      <c r="N42" s="2"/>
      <c r="O42" s="2"/>
      <c r="P42" s="2"/>
    </row>
    <row r="43" spans="2:16" x14ac:dyDescent="0.25">
      <c r="B43" s="2"/>
      <c r="C43" s="2"/>
      <c r="D43" s="2"/>
      <c r="E43" s="2"/>
      <c r="F43" s="2"/>
      <c r="G43" s="2"/>
      <c r="H43" s="2"/>
      <c r="I43" s="2"/>
      <c r="J43" s="2"/>
      <c r="K43" s="2"/>
      <c r="L43" s="2"/>
      <c r="M43" s="2"/>
      <c r="N43" s="2"/>
      <c r="O43" s="2"/>
      <c r="P43" s="2"/>
    </row>
    <row r="44" spans="2:16" x14ac:dyDescent="0.25">
      <c r="B44" s="2"/>
      <c r="C44" s="2"/>
      <c r="D44" s="2"/>
      <c r="E44" s="2"/>
      <c r="F44" s="2"/>
      <c r="G44" s="2"/>
      <c r="H44" s="2"/>
      <c r="I44" s="2"/>
      <c r="J44" s="2"/>
      <c r="K44" s="2"/>
      <c r="L44" s="2"/>
      <c r="M44" s="2"/>
      <c r="N44" s="2"/>
      <c r="O44" s="2"/>
      <c r="P44" s="2"/>
    </row>
    <row r="45" spans="2:16" x14ac:dyDescent="0.25">
      <c r="B45" s="2"/>
      <c r="C45" s="2"/>
      <c r="D45" s="2"/>
      <c r="E45" s="2"/>
      <c r="F45" s="2"/>
      <c r="G45" s="2"/>
      <c r="H45" s="2"/>
      <c r="I45" s="2"/>
      <c r="J45" s="2"/>
      <c r="K45" s="2"/>
      <c r="L45" s="2"/>
      <c r="M45" s="2"/>
      <c r="N45" s="2"/>
      <c r="O45" s="2"/>
      <c r="P45" s="2"/>
    </row>
  </sheetData>
  <mergeCells count="2">
    <mergeCell ref="A5:A7"/>
    <mergeCell ref="A9:A10"/>
  </mergeCells>
  <pageMargins left="0.7" right="0.7" top="0.75" bottom="0.75" header="0.3" footer="0.3"/>
  <pageSetup paperSize="9" orientation="portrait" verticalDpi="597" r:id="rId1"/>
  <ignoredErrors>
    <ignoredError sqref="C7 D7:N7" formulaRange="1"/>
    <ignoredError sqref="O9" formula="1"/>
  </ignoredErrors>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Fiche de suivi 2025</vt:lpstr>
      <vt:lpstr>MV</vt:lpstr>
      <vt:lpstr>Feuil2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2006-09-12T15:06:44Z</dcterms:created>
  <dcterms:modified xsi:type="dcterms:W3CDTF">2025-09-09T08:08:54Z</dcterms:modified>
</cp:coreProperties>
</file>